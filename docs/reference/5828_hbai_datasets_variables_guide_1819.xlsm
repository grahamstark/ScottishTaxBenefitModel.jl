
<file path=[Content_Types].xml><?xml version="1.0" encoding="utf-8"?>
<Types xmlns="http://schemas.openxmlformats.org/package/2006/content-types">
  <Override PartName="/xl/_rels/workbook.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worksheets/_rels/sheet6.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vmlDrawing1.vml" ContentType="application/vnd.openxmlformats-officedocument.vmlDrawing"/>
  <Override PartName="/xl/drawings/drawing1.xml" ContentType="application/vnd.openxmlformats-officedocument.drawing+xml"/>
  <Override PartName="/xl/comments3.xml" ContentType="application/vnd.openxmlformats-officedocument.spreadsheetml.comment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Contents" sheetId="1" state="visible" r:id="rId2"/>
    <sheet name="HBAI Variable Changes 1718+" sheetId="2" state="visible" r:id="rId3"/>
    <sheet name="HBAI Main &amp; Backseries Datasets" sheetId="3" state="visible" r:id="rId4"/>
    <sheet name="HBAI Resamples Datasets" sheetId="4" state="visible" r:id="rId5"/>
    <sheet name="HBAI Income Adjustments" sheetId="5" state="visible" r:id="rId6"/>
    <sheet name="HBAI Deflators" sheetId="6" state="visible" r:id="rId7"/>
  </sheets>
  <definedNames>
    <definedName function="false" hidden="true" localSheetId="1" name="_xlnm._FilterDatabase" vbProcedure="false">'HBAI Variable Changes 1718+'!$A$4:$F$654</definedName>
    <definedName function="false" hidden="false" name="b" vbProcedure="false">#REF!</definedName>
    <definedName function="false" hidden="false" name="d" vbProcedure="false">#REF!</definedName>
    <definedName function="false" hidden="false" name="daz" vbProcedure="false">#REF!</definedName>
    <definedName function="false" hidden="false" name="ddd" vbProcedure="false">#REF!</definedName>
    <definedName function="false" hidden="false" name="f" vbProcedure="false">#REF!</definedName>
    <definedName function="false" hidden="false" name="g" vbProcedure="false">#REF!</definedName>
    <definedName function="false" hidden="false" name="var" vbProcedure="false">#REF!</definedName>
    <definedName function="false" hidden="false" name="want" vbProcedure="false">#REF!</definedName>
    <definedName function="false" hidden="false" name="_daz2" vbProcedure="false">#REF!</definedName>
    <definedName function="false" hidden="false" localSheetId="1" name="b" vbProcedure="false">#REF!</definedName>
    <definedName function="false" hidden="false" localSheetId="1" name="d" vbProcedure="false">#REF!</definedName>
    <definedName function="false" hidden="false" localSheetId="1" name="daz" vbProcedure="false">#REF!</definedName>
    <definedName function="false" hidden="false" localSheetId="1" name="ddd" vbProcedure="false">#REF!</definedName>
    <definedName function="false" hidden="false" localSheetId="1" name="f" vbProcedure="false">#REF!</definedName>
    <definedName function="false" hidden="false" localSheetId="1" name="g" vbProcedure="false">#REF!</definedName>
    <definedName function="false" hidden="false" localSheetId="1" name="var" vbProcedure="false">#REF!</definedName>
    <definedName function="false" hidden="false" localSheetId="1" name="want" vbProcedure="false">#REF!</definedName>
    <definedName function="false" hidden="false" localSheetId="1" name="_daz2" vbProcedure="false">#REF!</definedName>
    <definedName function="false" hidden="false" localSheetId="2" name="b" vbProcedure="false">#REF!</definedName>
    <definedName function="false" hidden="false" localSheetId="2" name="d" vbProcedure="false">#REF!</definedName>
    <definedName function="false" hidden="false" localSheetId="2" name="daz" vbProcedure="false">#REF!</definedName>
    <definedName function="false" hidden="false" localSheetId="2" name="ddd" vbProcedure="false">#REF!</definedName>
    <definedName function="false" hidden="false" localSheetId="2" name="f" vbProcedure="false">#REF!</definedName>
    <definedName function="false" hidden="false" localSheetId="2" name="g" vbProcedure="false">#REF!</definedName>
    <definedName function="false" hidden="false" localSheetId="2" name="var" vbProcedure="false">#REF!</definedName>
    <definedName function="false" hidden="false" localSheetId="2" name="want" vbProcedure="false">#REF!</definedName>
    <definedName function="false" hidden="false" localSheetId="2" name="_daz2" vbProcedure="false">#REF!</definedName>
    <definedName function="false" hidden="false" localSheetId="3" name="b" vbProcedure="false">#REF!</definedName>
    <definedName function="false" hidden="false" localSheetId="3" name="d" vbProcedure="false">#REF!</definedName>
    <definedName function="false" hidden="false" localSheetId="3" name="daz" vbProcedure="false">#REF!</definedName>
    <definedName function="false" hidden="false" localSheetId="3" name="ddd" vbProcedure="false">#REF!</definedName>
    <definedName function="false" hidden="false" localSheetId="3" name="f" vbProcedure="false">#REF!</definedName>
    <definedName function="false" hidden="false" localSheetId="3" name="g" vbProcedure="false">#REF!</definedName>
    <definedName function="false" hidden="false" localSheetId="3" name="var" vbProcedure="false">#REF!</definedName>
    <definedName function="false" hidden="false" localSheetId="3" name="want" vbProcedure="false">#REF!</definedName>
    <definedName function="false" hidden="false" localSheetId="3" name="_daz2" vbProcedure="false">#REF!</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C146" authorId="0">
      <text>
        <r>
          <rPr>
            <b val="true"/>
            <sz val="9"/>
            <color rgb="FF000000"/>
            <rFont val="Tahoma"/>
            <family val="2"/>
            <charset val="1"/>
          </rPr>
          <t xml:space="preserve"> </t>
        </r>
        <r>
          <rPr>
            <sz val="12"/>
            <color rgb="FF000000"/>
            <rFont val="Arial"/>
            <family val="2"/>
            <charset val="1"/>
          </rPr>
          <t xml:space="preserve">Please note the categories here are valid from 2012/13 onwards - harmonised variables 'ethgrphhpub', 'asian' and 'eth' are recommended for comparisons over time.
</t>
        </r>
      </text>
    </comment>
  </commentList>
</comments>
</file>

<file path=xl/sharedStrings.xml><?xml version="1.0" encoding="utf-8"?>
<sst xmlns="http://schemas.openxmlformats.org/spreadsheetml/2006/main" count="5099" uniqueCount="1702">
  <si>
    <t xml:space="preserve">HBAI Dataset Variables Guide 1819</t>
  </si>
  <si>
    <t xml:space="preserve">This workbook provides information for the Households Below Average Income (HBAI) datasets available at</t>
  </si>
  <si>
    <t xml:space="preserve">UK Data Archive</t>
  </si>
  <si>
    <t xml:space="preserve">and </t>
  </si>
  <si>
    <t xml:space="preserve">/secure/im/im3/project/hbai/released/gross4</t>
  </si>
  <si>
    <t xml:space="preserve">(DWP users only)</t>
  </si>
  <si>
    <t xml:space="preserve">Tab:</t>
  </si>
  <si>
    <t xml:space="preserve">Contents:</t>
  </si>
  <si>
    <t xml:space="preserve">HBAI Variable Changes 1718+</t>
  </si>
  <si>
    <t xml:space="preserve">Summary table of how each HBAI variable previously available has changed to create the new, harmonised HBAI datasets published from March 2019 onwards.</t>
  </si>
  <si>
    <t xml:space="preserve">HBAI Main and Backseries Dataset</t>
  </si>
  <si>
    <t xml:space="preserve">Variable list for the HBAI variables in the new, harmonised HBAI family (benefit unit) level and individual level datasets (including differences in variable availability and values </t>
  </si>
  <si>
    <t xml:space="preserve">between the UKDA End User Licence (Anonymised) Datasets) and the UKDA Safe Room datasets).</t>
  </si>
  <si>
    <t xml:space="preserve">HBAI Resamples Dataset</t>
  </si>
  <si>
    <t xml:space="preserve">Variable list for the HBAI variables in resamples datasets.</t>
  </si>
  <si>
    <t xml:space="preserve">HBAI Income Adjustments</t>
  </si>
  <si>
    <t xml:space="preserve">Provides detail of the adjustments that may be made to income variables.</t>
  </si>
  <si>
    <t xml:space="preserve">HBAI Deflators</t>
  </si>
  <si>
    <t xml:space="preserve">Summarises the underlying data and final deflators used for adjusting income variables to the latest survey year prices and average of the survey year prices.</t>
  </si>
  <si>
    <t xml:space="preserve">Summary of New HBAI Harmonised Datasets</t>
  </si>
  <si>
    <t xml:space="preserve">For 2018/19, the HBAI datasets contained the following sample cases and variables:</t>
  </si>
  <si>
    <t xml:space="preserve">DWP User Datasets</t>
  </si>
  <si>
    <t xml:space="preserve">UKDA End User Licence Version</t>
  </si>
  <si>
    <t xml:space="preserve">UKDA Safe Room Version</t>
  </si>
  <si>
    <t xml:space="preserve">DWP User/Safe Room</t>
  </si>
  <si>
    <t xml:space="preserve">End User Licence</t>
  </si>
  <si>
    <t xml:space="preserve">Family (benefit unit) level:</t>
  </si>
  <si>
    <t xml:space="preserve">Sample cases for:</t>
  </si>
  <si>
    <t xml:space="preserve">Main Dataset</t>
  </si>
  <si>
    <t xml:space="preserve">hbai1819_g4</t>
  </si>
  <si>
    <t xml:space="preserve">h1819</t>
  </si>
  <si>
    <t xml:space="preserve">h189s</t>
  </si>
  <si>
    <t xml:space="preserve">  Households</t>
  </si>
  <si>
    <t xml:space="preserve">Back-series Dataset</t>
  </si>
  <si>
    <t xml:space="preserve">all_g4</t>
  </si>
  <si>
    <t xml:space="preserve">h1819_all</t>
  </si>
  <si>
    <t xml:space="preserve">h189s_all</t>
  </si>
  <si>
    <t xml:space="preserve">  Families (benefit units)</t>
  </si>
  <si>
    <t xml:space="preserve">Resamples Dataset</t>
  </si>
  <si>
    <t xml:space="preserve">hbai1819_res</t>
  </si>
  <si>
    <t xml:space="preserve">h1819_res</t>
  </si>
  <si>
    <t xml:space="preserve">h189s_res</t>
  </si>
  <si>
    <t xml:space="preserve">  Individuals</t>
  </si>
  <si>
    <t xml:space="preserve">Other Resamples Datasets</t>
  </si>
  <si>
    <t xml:space="preserve">hbai9495_res … hbai1718_res</t>
  </si>
  <si>
    <r>
      <rPr>
        <sz val="12"/>
        <color rgb="FF000000"/>
        <rFont val="Arial"/>
        <family val="2"/>
        <charset val="1"/>
      </rPr>
      <t xml:space="preserve">h9495_res </t>
    </r>
    <r>
      <rPr>
        <sz val="12"/>
        <color rgb="FF000000"/>
        <rFont val="Wingdings"/>
        <family val="0"/>
        <charset val="2"/>
      </rPr>
      <t xml:space="preserve">à</t>
    </r>
    <r>
      <rPr>
        <sz val="12"/>
        <color rgb="FF000000"/>
        <rFont val="Arial"/>
        <family val="2"/>
        <charset val="1"/>
      </rPr>
      <t xml:space="preserve"> h1718_res</t>
    </r>
  </si>
  <si>
    <r>
      <rPr>
        <sz val="12"/>
        <color rgb="FF000000"/>
        <rFont val="Arial"/>
        <family val="2"/>
        <charset val="1"/>
      </rPr>
      <t xml:space="preserve">h945s_res </t>
    </r>
    <r>
      <rPr>
        <sz val="12"/>
        <color rgb="FF000000"/>
        <rFont val="Wingdings"/>
        <family val="0"/>
        <charset val="2"/>
      </rPr>
      <t xml:space="preserve">à</t>
    </r>
    <r>
      <rPr>
        <sz val="12"/>
        <color rgb="FF000000"/>
        <rFont val="Arial"/>
        <family val="2"/>
        <charset val="1"/>
      </rPr>
      <t xml:space="preserve"> h178s_res</t>
    </r>
  </si>
  <si>
    <t xml:space="preserve">  Children</t>
  </si>
  <si>
    <t xml:space="preserve">  Working-age Adults</t>
  </si>
  <si>
    <t xml:space="preserve">Individual level:</t>
  </si>
  <si>
    <t xml:space="preserve">  Pensioners</t>
  </si>
  <si>
    <t xml:space="preserve">ind1819_g4</t>
  </si>
  <si>
    <t xml:space="preserve">i1819</t>
  </si>
  <si>
    <t xml:space="preserve">i189s</t>
  </si>
  <si>
    <t xml:space="preserve">allind_g4</t>
  </si>
  <si>
    <t xml:space="preserve">i1819_all</t>
  </si>
  <si>
    <t xml:space="preserve">i189s_all</t>
  </si>
  <si>
    <t xml:space="preserve">Variables in:</t>
  </si>
  <si>
    <t xml:space="preserve">  Family-level (benefit unit) main dataset</t>
  </si>
  <si>
    <t xml:space="preserve">Note: Individual level resample datasets need to be derived from family (benefit unit) level versions (see User Guide for more information) </t>
  </si>
  <si>
    <t xml:space="preserve">  Individual-level main dataset</t>
  </si>
  <si>
    <t xml:space="preserve">Further information on the differences between the UKDA End User Licence and DWP User/UKDA Safe Room Version can be found in the </t>
  </si>
  <si>
    <t xml:space="preserve">Unique indentifiers are:</t>
  </si>
  <si>
    <t xml:space="preserve">User Guide.</t>
  </si>
  <si>
    <t xml:space="preserve">sernum - household serial number</t>
  </si>
  <si>
    <t xml:space="preserve">benunit - position of the family (benefit unit) in the household)</t>
  </si>
  <si>
    <t xml:space="preserve">HBAI Quality and Methodology Report 2018/19 provides a glossary - see:</t>
  </si>
  <si>
    <t xml:space="preserve">HBAI 1994-95 to 2018-19 gov.uk homepage</t>
  </si>
  <si>
    <t xml:space="preserve">person - person number in the household (individual-level datasets only)</t>
  </si>
  <si>
    <t xml:space="preserve">uperson - position of adult in the family (benefit unit) (individual-level datasets only)</t>
  </si>
  <si>
    <t xml:space="preserve"> HBAI Variable Changes 1718+</t>
  </si>
  <si>
    <t xml:space="preserve">The following table summarises how each HBAI variable previously available has changed to create the new, harmonised HBAI dataset available from March 2019 onwards.</t>
  </si>
  <si>
    <t xml:space="preserve">Variable</t>
  </si>
  <si>
    <t xml:space="preserve">Previous Description</t>
  </si>
  <si>
    <t xml:space="preserve">Status</t>
  </si>
  <si>
    <t xml:space="preserve">Availabiilty</t>
  </si>
  <si>
    <t xml:space="preserve">UKDA End User Licence (Anonymised) Dataset (Difference to UKDA Safe Room version)</t>
  </si>
  <si>
    <t xml:space="preserve">Guidance</t>
  </si>
  <si>
    <t xml:space="preserve">ABS1011AHC</t>
  </si>
  <si>
    <t xml:space="preserve">2010/11 absolute median income (AHC) in latest prices</t>
  </si>
  <si>
    <t xml:space="preserve">New</t>
  </si>
  <si>
    <t xml:space="preserve">All Years</t>
  </si>
  <si>
    <t xml:space="preserve">Rounded to nearest £</t>
  </si>
  <si>
    <t xml:space="preserve">ABS1011BHC</t>
  </si>
  <si>
    <t xml:space="preserve">2010/11 absolute median income (BHC) in latest prices</t>
  </si>
  <si>
    <t xml:space="preserve">ADULTB</t>
  </si>
  <si>
    <t xml:space="preserve">Number of adults in benefit unit</t>
  </si>
  <si>
    <t xml:space="preserve">No change</t>
  </si>
  <si>
    <t xml:space="preserve">No difference</t>
  </si>
  <si>
    <t xml:space="preserve">ADULTH</t>
  </si>
  <si>
    <t xml:space="preserve">Number of adults in household</t>
  </si>
  <si>
    <t xml:space="preserve">AGE</t>
  </si>
  <si>
    <t xml:space="preserve">Age of individual</t>
  </si>
  <si>
    <t xml:space="preserve">if agehd&gt;80 agehd reset to 80</t>
  </si>
  <si>
    <t xml:space="preserve">AGEBAND</t>
  </si>
  <si>
    <t xml:space="preserve">Age-band of individual</t>
  </si>
  <si>
    <t xml:space="preserve">if ageband=16 (aged 85+) reset to ageband=15</t>
  </si>
  <si>
    <t xml:space="preserve">AGEHD</t>
  </si>
  <si>
    <t xml:space="preserve">Age of head</t>
  </si>
  <si>
    <t xml:space="preserve">AGESP</t>
  </si>
  <si>
    <t xml:space="preserve">Age of spouse</t>
  </si>
  <si>
    <t xml:space="preserve">if agesp&gt;80 agesp reset to 80</t>
  </si>
  <si>
    <t xml:space="preserve">AHCDEF</t>
  </si>
  <si>
    <t xml:space="preserve">Used to deflate AHC income to the average of the survey year</t>
  </si>
  <si>
    <t xml:space="preserve">AHCDEF_RPI</t>
  </si>
  <si>
    <t xml:space="preserve">Used to deflate AHC income to the average of the survey year - RPI</t>
  </si>
  <si>
    <t xml:space="preserve">Removed</t>
  </si>
  <si>
    <t xml:space="preserve">2014/15</t>
  </si>
  <si>
    <t xml:space="preserve">Use AHCDEF</t>
  </si>
  <si>
    <t xml:space="preserve">AHCUPRAT</t>
  </si>
  <si>
    <t xml:space="preserve">Used to uprate AHC income from the January of the survey year to publication prices</t>
  </si>
  <si>
    <t xml:space="preserve">1994/95-1999/00</t>
  </si>
  <si>
    <t xml:space="preserve">AHCPUBDEF</t>
  </si>
  <si>
    <t xml:space="preserve">CPI-based AHC deflator for latest (publication) year</t>
  </si>
  <si>
    <t xml:space="preserve">AHCYRDEF</t>
  </si>
  <si>
    <t xml:space="preserve">CPI-based AHC deflator for survey year (average of financial year)</t>
  </si>
  <si>
    <t xml:space="preserve">ASIAN</t>
  </si>
  <si>
    <t xml:space="preserve">BENUNIT</t>
  </si>
  <si>
    <t xml:space="preserve">Position of benefit unit in household</t>
  </si>
  <si>
    <t xml:space="preserve">BENUNITS</t>
  </si>
  <si>
    <t xml:space="preserve">Number of Benefit Units within the household</t>
  </si>
  <si>
    <t xml:space="preserve">BHCDEF</t>
  </si>
  <si>
    <t xml:space="preserve">Used to deflate BHC income to the average of the survey year</t>
  </si>
  <si>
    <t xml:space="preserve">BHCPUBDEF</t>
  </si>
  <si>
    <t xml:space="preserve">CPI-based BHC deflator for latest (publication) year</t>
  </si>
  <si>
    <t xml:space="preserve">BHCYRDEF</t>
  </si>
  <si>
    <t xml:space="preserve">CPI-based BHC deflator for survey year (average of financial year)</t>
  </si>
  <si>
    <t xml:space="preserve">BHCDEF_CPI</t>
  </si>
  <si>
    <t xml:space="preserve">Used to deflate BHC income to the average of the survey year - CPI</t>
  </si>
  <si>
    <t xml:space="preserve">2002/03 - 2013/14</t>
  </si>
  <si>
    <t xml:space="preserve">Use BHCDEF</t>
  </si>
  <si>
    <t xml:space="preserve">BHCUPRAT</t>
  </si>
  <si>
    <t xml:space="preserve">Used to uprate BHC income from the January of the survey year to publication prices</t>
  </si>
  <si>
    <t xml:space="preserve">BHCDEF_CPIH</t>
  </si>
  <si>
    <t xml:space="preserve">Used to deflate BHC income to the average of the survey year - CPIH</t>
  </si>
  <si>
    <t xml:space="preserve">2005/06 - 2013/14</t>
  </si>
  <si>
    <t xml:space="preserve">BHCDEF_RPIJ</t>
  </si>
  <si>
    <t xml:space="preserve">Used to deflate BHC income to the average of the survey year - RPIJ</t>
  </si>
  <si>
    <t xml:space="preserve">BHCDEF_RPI</t>
  </si>
  <si>
    <t xml:space="preserve">Used to deflate BHC income to the average of the survey year - RPI</t>
  </si>
  <si>
    <t xml:space="preserve">BOYS</t>
  </si>
  <si>
    <t xml:space="preserve">Number of boys in benefit unit</t>
  </si>
  <si>
    <t xml:space="preserve">CAPITAL</t>
  </si>
  <si>
    <t xml:space="preserve">Savings and Investments of Adults in the Family</t>
  </si>
  <si>
    <t xml:space="preserve">CHARGHH</t>
  </si>
  <si>
    <t xml:space="preserve">Total household service charges</t>
  </si>
  <si>
    <t xml:space="preserve">CHBENBU</t>
  </si>
  <si>
    <t xml:space="preserve">Amount of disability benefits paid to a child for the benefit unit</t>
  </si>
  <si>
    <t xml:space="preserve">2000/01 +</t>
  </si>
  <si>
    <t xml:space="preserve">CHBENHH</t>
  </si>
  <si>
    <t xml:space="preserve">Amount of disability benefits paid to a child for the household</t>
  </si>
  <si>
    <t xml:space="preserve">COUPLE</t>
  </si>
  <si>
    <t xml:space="preserve">Type of couple</t>
  </si>
  <si>
    <t xml:space="preserve">2009/10+</t>
  </si>
  <si>
    <t xml:space="preserve">CTCBU</t>
  </si>
  <si>
    <t xml:space="preserve">Amount of Child Tax Credit for the Benefit Unit</t>
  </si>
  <si>
    <t xml:space="preserve">2003/04 +</t>
  </si>
  <si>
    <t xml:space="preserve">CTLIAB</t>
  </si>
  <si>
    <t xml:space="preserve">Amount of council tax the household is liable for</t>
  </si>
  <si>
    <t xml:space="preserve">Removed </t>
  </si>
  <si>
    <t xml:space="preserve">CTREBAM1</t>
  </si>
  <si>
    <t xml:space="preserve">Amount of council tax rebate the household receives</t>
  </si>
  <si>
    <t xml:space="preserve">CWATADJ</t>
  </si>
  <si>
    <t xml:space="preserve">Amount household water charges reduced by through Scottish water charge discount scheme</t>
  </si>
  <si>
    <t xml:space="preserve">2007/08+</t>
  </si>
  <si>
    <t xml:space="preserve">CWATHH</t>
  </si>
  <si>
    <t xml:space="preserve">Total amount of water and sewerage charges for the household (Scotland)</t>
  </si>
  <si>
    <t xml:space="preserve">1999/00+</t>
  </si>
  <si>
    <t xml:space="preserve">DEPCHLDB</t>
  </si>
  <si>
    <t xml:space="preserve">Number of dependant children in the benefit unit</t>
  </si>
  <si>
    <t xml:space="preserve">DEPCHLDH</t>
  </si>
  <si>
    <t xml:space="preserve">Number of dependant children in the household</t>
  </si>
  <si>
    <t xml:space="preserve">DISCORABFLG</t>
  </si>
  <si>
    <t xml:space="preserve">Number of disabled adults in the benefit unit (the Equality Act 2010 - core def)</t>
  </si>
  <si>
    <t xml:space="preserve">2012/13 +</t>
  </si>
  <si>
    <t xml:space="preserve">DISABFLG</t>
  </si>
  <si>
    <t xml:space="preserve">Number of disabled adults in the benefit unit</t>
  </si>
  <si>
    <t xml:space="preserve">Renamed DISCORABFLG</t>
  </si>
  <si>
    <t xml:space="preserve">1994/95-2011/12</t>
  </si>
  <si>
    <t xml:space="preserve">DISCORKID</t>
  </si>
  <si>
    <t xml:space="preserve">Does the family (benefit unit) contain a disabled child (the Equality Act 2010 - core def)</t>
  </si>
  <si>
    <t xml:space="preserve">DISKID</t>
  </si>
  <si>
    <t xml:space="preserve">Does the family (benefit unit) contain a disabled child</t>
  </si>
  <si>
    <t xml:space="preserve">Renamed DISCORKID</t>
  </si>
  <si>
    <t xml:space="preserve">1995/96-2011/12</t>
  </si>
  <si>
    <t xml:space="preserve">DSCORANDBEN</t>
  </si>
  <si>
    <t xml:space="preserve">Disability in and Disability Benefits received by family (benefit unit) (the Equality Act 2010 - core def)</t>
  </si>
  <si>
    <t xml:space="preserve">DSANDBEN</t>
  </si>
  <si>
    <t xml:space="preserve">Disability in and Disability Benefits received by family (benefit unti)</t>
  </si>
  <si>
    <t xml:space="preserve">Renamed DSCORANDBEN</t>
  </si>
  <si>
    <t xml:space="preserve">DSCORFAM</t>
  </si>
  <si>
    <t xml:space="preserve">Disability within the family (benefit unit) (the Equality Act 2010 - core def)</t>
  </si>
  <si>
    <t xml:space="preserve">DSFAM</t>
  </si>
  <si>
    <t xml:space="preserve">Disability within the family (benefit unit)</t>
  </si>
  <si>
    <t xml:space="preserve">Renamed DSCORFAM</t>
  </si>
  <si>
    <t xml:space="preserve">DSCORFAM_WORK</t>
  </si>
  <si>
    <t xml:space="preserve">Disability and Work Status within the family (benefit unit) (the Equality Act 2010 - core def)</t>
  </si>
  <si>
    <t xml:space="preserve">DSFAM_WORK</t>
  </si>
  <si>
    <t xml:space="preserve">Disability and Work Status within the family (benefit unit)</t>
  </si>
  <si>
    <t xml:space="preserve">Renamed DSCORFAM_WORK</t>
  </si>
  <si>
    <t xml:space="preserve">1996/97-2011/12</t>
  </si>
  <si>
    <t xml:space="preserve">DSCORONLY</t>
  </si>
  <si>
    <t xml:space="preserve">Disability mix within the family (benefit unit) (the Equality Act 2010 - core def)</t>
  </si>
  <si>
    <t xml:space="preserve">DSONLY</t>
  </si>
  <si>
    <t xml:space="preserve">Disability mix within the family (benefit unit)</t>
  </si>
  <si>
    <t xml:space="preserve">Renamed DSCORONLY</t>
  </si>
  <si>
    <t xml:space="preserve">DSCORONLYPEN</t>
  </si>
  <si>
    <t xml:space="preserve">Pensioners - Disability mix within the family (benefit unit) (the Equality Act 2010 - core def)</t>
  </si>
  <si>
    <t xml:space="preserve">DSONLYPEN</t>
  </si>
  <si>
    <t xml:space="preserve">Pensioners - Disability mix within the family (benefit unit)</t>
  </si>
  <si>
    <t xml:space="preserve">Renamed DSCORONLYPEN</t>
  </si>
  <si>
    <t xml:space="preserve">DPTCBU</t>
  </si>
  <si>
    <t xml:space="preserve">Disabled Person's Tax Credit for the benefit unit (not including lump sums)</t>
  </si>
  <si>
    <t xml:space="preserve">2000/01-2003/04</t>
  </si>
  <si>
    <t xml:space="preserve">EAHCMCHH</t>
  </si>
  <si>
    <t xml:space="preserve">FRS extended - unequivalised, undeflated, un-spi'd after housing costs income for the household (McClements)</t>
  </si>
  <si>
    <t xml:space="preserve">1997/98-2001/02</t>
  </si>
  <si>
    <t xml:space="preserve">Use EAHCHH</t>
  </si>
  <si>
    <t xml:space="preserve">EAHCHH</t>
  </si>
  <si>
    <t xml:space="preserve">Unequivalised, undeflated, un-spi'd after housing costs income for the household</t>
  </si>
  <si>
    <t xml:space="preserve">1994/95-1996/97, 2005/06+</t>
  </si>
  <si>
    <t xml:space="preserve">EAHCOHH</t>
  </si>
  <si>
    <t xml:space="preserve">FRS extended - unequivalised, undeflated, un-spi'd after housing costs income for the household (OECD)</t>
  </si>
  <si>
    <t xml:space="preserve">Renamed EAHCHH</t>
  </si>
  <si>
    <t xml:space="preserve">1997/98-2004/05</t>
  </si>
  <si>
    <t xml:space="preserve">EBENINBU</t>
  </si>
  <si>
    <t xml:space="preserve">FRS extended - total benefit income for the benefit unit</t>
  </si>
  <si>
    <t xml:space="preserve">EBENINHH</t>
  </si>
  <si>
    <t xml:space="preserve">FRS extended - total benefit income for the household</t>
  </si>
  <si>
    <t xml:space="preserve">ECOBU</t>
  </si>
  <si>
    <t xml:space="preserve">Economic status of the benefit unit </t>
  </si>
  <si>
    <t xml:space="preserve">1996/97+</t>
  </si>
  <si>
    <t xml:space="preserve">EGRERNBU</t>
  </si>
  <si>
    <t xml:space="preserve">FRS extended - gross earnings for the benefit unit</t>
  </si>
  <si>
    <t xml:space="preserve">EGRERNHH</t>
  </si>
  <si>
    <t xml:space="preserve">FRS extended - gross earnings for the household</t>
  </si>
  <si>
    <t xml:space="preserve">EGRINCBU</t>
  </si>
  <si>
    <t xml:space="preserve">FRS extended - gross income for the benefit unit</t>
  </si>
  <si>
    <t xml:space="preserve">EGRINCHH</t>
  </si>
  <si>
    <t xml:space="preserve">FRS extended - gross income for the household</t>
  </si>
  <si>
    <t xml:space="preserve">EHBENBU</t>
  </si>
  <si>
    <t xml:space="preserve">FRS extended - housing benefit for benefit unit</t>
  </si>
  <si>
    <t xml:space="preserve">EHCOST</t>
  </si>
  <si>
    <t xml:space="preserve">FRS extended - total housing costs.</t>
  </si>
  <si>
    <t xml:space="preserve">EMISCIBU</t>
  </si>
  <si>
    <t xml:space="preserve">FRS extended - total miscellaneous income for the benefit unit</t>
  </si>
  <si>
    <t xml:space="preserve">EMISCIHH</t>
  </si>
  <si>
    <t xml:space="preserve">FRS extended - total miscellaneous income for the household</t>
  </si>
  <si>
    <t xml:space="preserve">ENTERNBU</t>
  </si>
  <si>
    <t xml:space="preserve">FRS extended - net earnings for the benefit unit</t>
  </si>
  <si>
    <t xml:space="preserve">ENTERNHH</t>
  </si>
  <si>
    <t xml:space="preserve">FRS extended - net earnings for the household</t>
  </si>
  <si>
    <t xml:space="preserve">ENTINMBU</t>
  </si>
  <si>
    <t xml:space="preserve">FRS extended - net income for the benefit unit (McClements)</t>
  </si>
  <si>
    <t xml:space="preserve">Use ENTINCBU</t>
  </si>
  <si>
    <t xml:space="preserve">ENTINMHH</t>
  </si>
  <si>
    <t xml:space="preserve">FRS extended - net income for the household (McClements)</t>
  </si>
  <si>
    <t xml:space="preserve">Use ENTINCHH</t>
  </si>
  <si>
    <t xml:space="preserve">ENTINCBU</t>
  </si>
  <si>
    <t xml:space="preserve">FRS extended - net income for the benefit unit</t>
  </si>
  <si>
    <t xml:space="preserve">ENTINOBU</t>
  </si>
  <si>
    <t xml:space="preserve">FRS extended - net income for the benefit unit (OECD)</t>
  </si>
  <si>
    <t xml:space="preserve">Renamed ENTINCBU</t>
  </si>
  <si>
    <t xml:space="preserve">ENTINCHH</t>
  </si>
  <si>
    <t xml:space="preserve">FRS extended - net income for the household</t>
  </si>
  <si>
    <t xml:space="preserve">ENTINOHH</t>
  </si>
  <si>
    <t xml:space="preserve">FRS extended - net income for the household (OECD)</t>
  </si>
  <si>
    <t xml:space="preserve">Renamed ENTINCHH</t>
  </si>
  <si>
    <t xml:space="preserve">EOTHDMBU</t>
  </si>
  <si>
    <t xml:space="preserve">FRS extended - other deductions for the benefit unit (McClements)</t>
  </si>
  <si>
    <t xml:space="preserve">Use EOTHDOBU</t>
  </si>
  <si>
    <t xml:space="preserve">EOTHDMHH</t>
  </si>
  <si>
    <t xml:space="preserve">FRS extended - other deductions for the household (McClements)</t>
  </si>
  <si>
    <t xml:space="preserve">Use EOTHDOHH</t>
  </si>
  <si>
    <t xml:space="preserve">EOTHDOBU</t>
  </si>
  <si>
    <t xml:space="preserve">FRS extended - other deductions for the benefit unit (OECD)</t>
  </si>
  <si>
    <t xml:space="preserve">Renamed EOTHDEBU</t>
  </si>
  <si>
    <t xml:space="preserve">EOTHDEBU</t>
  </si>
  <si>
    <t xml:space="preserve">FRS extended - other deductions for the benefit unit</t>
  </si>
  <si>
    <t xml:space="preserve">EOTHDOHH</t>
  </si>
  <si>
    <t xml:space="preserve">FRS extended - other deductions for the household (OECD)</t>
  </si>
  <si>
    <t xml:space="preserve">Renamed EOTHDEHH</t>
  </si>
  <si>
    <t xml:space="preserve">EOTHDEHH</t>
  </si>
  <si>
    <t xml:space="preserve">FRS extended - other deductions for the household</t>
  </si>
  <si>
    <t xml:space="preserve">EPRIBNBU</t>
  </si>
  <si>
    <t xml:space="preserve">FRS extended - private benefit income for the benefit unit</t>
  </si>
  <si>
    <t xml:space="preserve">EPRIBNHH</t>
  </si>
  <si>
    <t xml:space="preserve">FRS extended - private benefit income for the household</t>
  </si>
  <si>
    <t xml:space="preserve">EQMAHCHH</t>
  </si>
  <si>
    <t xml:space="preserve">Household level McClements equivalence scale for AHC income</t>
  </si>
  <si>
    <t xml:space="preserve">1994/95-2001/02</t>
  </si>
  <si>
    <t xml:space="preserve">Use EQOAHCHH</t>
  </si>
  <si>
    <t xml:space="preserve">EQMAHCKD</t>
  </si>
  <si>
    <t xml:space="preserve">McClements equivalence factor for all children in household - AHC</t>
  </si>
  <si>
    <t xml:space="preserve">EQMBHCHH</t>
  </si>
  <si>
    <t xml:space="preserve">Household level McClements equivalence scale for BHC income</t>
  </si>
  <si>
    <t xml:space="preserve">Use EQOBHCHH</t>
  </si>
  <si>
    <t xml:space="preserve">EQMBHCKD</t>
  </si>
  <si>
    <t xml:space="preserve">McClements equivalence factor for all children in household - BHC</t>
  </si>
  <si>
    <t xml:space="preserve">EQMCOUP</t>
  </si>
  <si>
    <t xml:space="preserve">Status of adults in the benefit unit</t>
  </si>
  <si>
    <t xml:space="preserve">EQOAHCHH</t>
  </si>
  <si>
    <t xml:space="preserve">Household level OECD equivalence scale for AHC income</t>
  </si>
  <si>
    <t xml:space="preserve">EQOBHCHH</t>
  </si>
  <si>
    <t xml:space="preserve">Household level OECD equivalence scale for BHC income</t>
  </si>
  <si>
    <t xml:space="preserve">ERENTBU</t>
  </si>
  <si>
    <t xml:space="preserve">FRS extended - rent component of housing costs for the benefit unit</t>
  </si>
  <si>
    <t xml:space="preserve">ERENTHH</t>
  </si>
  <si>
    <t xml:space="preserve">FRS extended - rent component of housing costs for the household</t>
  </si>
  <si>
    <t xml:space="preserve">ERINPMBU</t>
  </si>
  <si>
    <t xml:space="preserve">Benefit unit SPI flag - non pensioner (McClements)</t>
  </si>
  <si>
    <t xml:space="preserve">Use ERICNPBU</t>
  </si>
  <si>
    <t xml:space="preserve">ERIPMBU</t>
  </si>
  <si>
    <t xml:space="preserve">Benefit unit SPI flag - pensioner (McClements)</t>
  </si>
  <si>
    <t xml:space="preserve">Use ERICPBU</t>
  </si>
  <si>
    <t xml:space="preserve">ERINPMHH</t>
  </si>
  <si>
    <t xml:space="preserve">Household SPI flag - non pensioner (McClements)</t>
  </si>
  <si>
    <t xml:space="preserve">Use ERICNPHH</t>
  </si>
  <si>
    <t xml:space="preserve">ERIPMHH</t>
  </si>
  <si>
    <t xml:space="preserve">Household SPI flag - pensioner (McClements)</t>
  </si>
  <si>
    <t xml:space="preserve">Use ERICPHH</t>
  </si>
  <si>
    <t xml:space="preserve">ERICHHD</t>
  </si>
  <si>
    <t xml:space="preserve">Flag to identify rich cases for SPI - head (1 rich non-pensioner, 2 if rich pensioner)</t>
  </si>
  <si>
    <t xml:space="preserve">1994/95-1996/97, 2008/09+</t>
  </si>
  <si>
    <t xml:space="preserve">ERICHSP</t>
  </si>
  <si>
    <t xml:space="preserve">Flag to identify rich cases for SPI - spouse (1 if rich non-pensioner, 2 if rich pensioner)</t>
  </si>
  <si>
    <t xml:space="preserve">ERICNPBU</t>
  </si>
  <si>
    <t xml:space="preserve">Benefit unit SPI flag - non pensioner</t>
  </si>
  <si>
    <t xml:space="preserve">2005/06+</t>
  </si>
  <si>
    <t xml:space="preserve">ERINPOBU</t>
  </si>
  <si>
    <t xml:space="preserve">Benefit unit SPI flag - non pensioner (OECD)</t>
  </si>
  <si>
    <t xml:space="preserve">Renamed ERICNPBU</t>
  </si>
  <si>
    <t xml:space="preserve">ERICNPHH</t>
  </si>
  <si>
    <t xml:space="preserve">Household SPI flag - non pensioner</t>
  </si>
  <si>
    <t xml:space="preserve">ERINPOHH</t>
  </si>
  <si>
    <t xml:space="preserve">Household SPI flag - non pensioner (OECD)</t>
  </si>
  <si>
    <t xml:space="preserve">Renamed ERICNPHH</t>
  </si>
  <si>
    <t xml:space="preserve">1997/98-2004/06</t>
  </si>
  <si>
    <t xml:space="preserve">ERICPBU</t>
  </si>
  <si>
    <t xml:space="preserve">Benefit unit SPI flag - pensioner</t>
  </si>
  <si>
    <t xml:space="preserve">ERIPOBU</t>
  </si>
  <si>
    <t xml:space="preserve">Benefit unit SPI flag - pensioner (OECD)</t>
  </si>
  <si>
    <t xml:space="preserve">Renamed ERICPBU</t>
  </si>
  <si>
    <t xml:space="preserve">ERICPHH</t>
  </si>
  <si>
    <t xml:space="preserve">Household SPI flag - pensioner</t>
  </si>
  <si>
    <t xml:space="preserve">ERIPOHH</t>
  </si>
  <si>
    <t xml:space="preserve">Household SPI flag - pensioner (OECD)</t>
  </si>
  <si>
    <t xml:space="preserve">Renamed ERICPHH</t>
  </si>
  <si>
    <t xml:space="preserve">ESAHCMHH</t>
  </si>
  <si>
    <t xml:space="preserve">FRS extended - SPI'd after housing costs income (McClements)</t>
  </si>
  <si>
    <t xml:space="preserve">Use ESAHCHH</t>
  </si>
  <si>
    <t xml:space="preserve">ESAHCHH</t>
  </si>
  <si>
    <t xml:space="preserve">FRS extended - SPI'd after housing costs income</t>
  </si>
  <si>
    <t xml:space="preserve">1994/95-1996/97,2005/06+</t>
  </si>
  <si>
    <t xml:space="preserve">ESAHCOHH</t>
  </si>
  <si>
    <t xml:space="preserve">FRS extended - SPI'd after housing costs income (OECD)</t>
  </si>
  <si>
    <t xml:space="preserve">Renamed ESAHCHH</t>
  </si>
  <si>
    <t xml:space="preserve">ES_HCSTM</t>
  </si>
  <si>
    <t xml:space="preserve">FRS extended - SPI'd total housing costs (McClements)</t>
  </si>
  <si>
    <t xml:space="preserve">Use ES_HCOST</t>
  </si>
  <si>
    <t xml:space="preserve">ES_HCOST</t>
  </si>
  <si>
    <t xml:space="preserve">FRS extended - SPI'd total housing costs</t>
  </si>
  <si>
    <t xml:space="preserve">ES_HCSTO</t>
  </si>
  <si>
    <t xml:space="preserve">FRS extended - SPI'd total housing costs (OECD)</t>
  </si>
  <si>
    <t xml:space="preserve">Renamed ES_HCOST</t>
  </si>
  <si>
    <t xml:space="preserve">ESBENIBU</t>
  </si>
  <si>
    <t xml:space="preserve">FRS extended - SPI'd total benefit income for the benefit unit</t>
  </si>
  <si>
    <t xml:space="preserve">ESBENIHD</t>
  </si>
  <si>
    <t xml:space="preserve">FRS extended - SPI'd total benefit income for the head of the benefit unit</t>
  </si>
  <si>
    <t xml:space="preserve">1997/98+ (except 2004/05)</t>
  </si>
  <si>
    <t xml:space="preserve">ESBENIHH</t>
  </si>
  <si>
    <t xml:space="preserve">FRS extended - SPI'd total benefit income for the household</t>
  </si>
  <si>
    <t xml:space="preserve">ESBENISP</t>
  </si>
  <si>
    <t xml:space="preserve">FRS extended - SPI'd total benefit income for the spouse of the benefit unit</t>
  </si>
  <si>
    <t xml:space="preserve">ESGINCBU</t>
  </si>
  <si>
    <t xml:space="preserve">FRS extended - SPI'd gross income for the benefit unit.</t>
  </si>
  <si>
    <t xml:space="preserve">ESGINCHH</t>
  </si>
  <si>
    <t xml:space="preserve">FRS extended - SPI'd  gross income for the household</t>
  </si>
  <si>
    <t xml:space="preserve">ESGINVBU</t>
  </si>
  <si>
    <t xml:space="preserve">FRS extended - SPI'd gross investment income for the benefit unit</t>
  </si>
  <si>
    <t xml:space="preserve">ESGINVHD</t>
  </si>
  <si>
    <t xml:space="preserve">FRS extended - SPI'd gross investment income for the head of the benefit unit</t>
  </si>
  <si>
    <t xml:space="preserve">ESGINVHH</t>
  </si>
  <si>
    <t xml:space="preserve">FRS extended - SPI'd gross investment income for the household</t>
  </si>
  <si>
    <t xml:space="preserve">ESGINVSP</t>
  </si>
  <si>
    <t xml:space="preserve">FRS extended - SPI'd gross investment income for the spouse of the benefit unit</t>
  </si>
  <si>
    <t xml:space="preserve">ESGJOBBU</t>
  </si>
  <si>
    <t xml:space="preserve">FRS extended - SPI'd gross employment income for the benefit unit</t>
  </si>
  <si>
    <t xml:space="preserve">ESGJOBHD</t>
  </si>
  <si>
    <t xml:space="preserve">FRS extended - SPI'd gross employment income for the head of the benefit unit</t>
  </si>
  <si>
    <t xml:space="preserve">ESGJOBHH</t>
  </si>
  <si>
    <t xml:space="preserve">FRS extended - SPI'd gross employment income for the household</t>
  </si>
  <si>
    <t xml:space="preserve">ESGJOBSP</t>
  </si>
  <si>
    <t xml:space="preserve">FRS extended - SPI'd gross employment income for the spouse of the benefit unit</t>
  </si>
  <si>
    <t xml:space="preserve">ESGOCCBU</t>
  </si>
  <si>
    <t xml:space="preserve">FRS extended - SPI'd gross occupational pension income for the benefit unit</t>
  </si>
  <si>
    <t xml:space="preserve">ESGOCCHD</t>
  </si>
  <si>
    <t xml:space="preserve">FRS extended - SPI'd gross occupational pension income for the head of the benefit unit</t>
  </si>
  <si>
    <t xml:space="preserve">ESGOCCHH</t>
  </si>
  <si>
    <t xml:space="preserve">FRS extended - SPI'd gross occupational pension income for the household</t>
  </si>
  <si>
    <t xml:space="preserve">ESGOCCSP</t>
  </si>
  <si>
    <t xml:space="preserve">FRS extended - SPI'd gross occupational pension income for the spouse of the benefit unit</t>
  </si>
  <si>
    <t xml:space="preserve">ESGRSEBU</t>
  </si>
  <si>
    <t xml:space="preserve">FRS extended - SPI'd gross self-employment income for the benefit unit</t>
  </si>
  <si>
    <t xml:space="preserve">ESGRSEHD</t>
  </si>
  <si>
    <t xml:space="preserve">FRS extended - SPI'd gross self-employment income for the head of the benefit unit</t>
  </si>
  <si>
    <t xml:space="preserve">ESGRSEHH</t>
  </si>
  <si>
    <t xml:space="preserve">FRS extended - SPI'd gross self-employment income for the household</t>
  </si>
  <si>
    <t xml:space="preserve">ESGRSESP</t>
  </si>
  <si>
    <t xml:space="preserve">FRS extended - SPI'd gross self-employment income for the spouse of the benefit unit</t>
  </si>
  <si>
    <t xml:space="preserve">ESMISCBU</t>
  </si>
  <si>
    <t xml:space="preserve">FRS extended - SPI'd total miscellaneous income for the benefit unit</t>
  </si>
  <si>
    <t xml:space="preserve">ESMISCHD</t>
  </si>
  <si>
    <t xml:space="preserve">FRS extended - SPI'd total miscellaneous income for the head of the benefit unit</t>
  </si>
  <si>
    <t xml:space="preserve">ESMISCHH</t>
  </si>
  <si>
    <t xml:space="preserve">FRS extended - SPI'd miscellaneous income for the household</t>
  </si>
  <si>
    <t xml:space="preserve">ESMISCSP</t>
  </si>
  <si>
    <t xml:space="preserve">FRS extended - SPI'd total miscellaneous income for the spouse of the benefit unit</t>
  </si>
  <si>
    <t xml:space="preserve">ESNINMBU</t>
  </si>
  <si>
    <t xml:space="preserve">FRS extended - SPI'd net income for the benefit unit (McClements)</t>
  </si>
  <si>
    <t xml:space="preserve">1997/98</t>
  </si>
  <si>
    <t xml:space="preserve">Use ESNINCBU</t>
  </si>
  <si>
    <t xml:space="preserve">ESNINMHH</t>
  </si>
  <si>
    <t xml:space="preserve">FRS extended - SPI'd  household net income (McClements)</t>
  </si>
  <si>
    <t xml:space="preserve">Use ESNINCHH</t>
  </si>
  <si>
    <t xml:space="preserve">ESNINCBU</t>
  </si>
  <si>
    <t xml:space="preserve">FRS extended - SPI'd net income for the benefit unit</t>
  </si>
  <si>
    <t xml:space="preserve">ESNINOBU</t>
  </si>
  <si>
    <t xml:space="preserve">FRS extended - SPI'd net income for the benefit unit (OECD)</t>
  </si>
  <si>
    <t xml:space="preserve">Renamed ESNINCBU</t>
  </si>
  <si>
    <t xml:space="preserve">ESNINCHH</t>
  </si>
  <si>
    <t xml:space="preserve">FRS extended - SPI'd  household net income</t>
  </si>
  <si>
    <t xml:space="preserve">ESNINOHH</t>
  </si>
  <si>
    <t xml:space="preserve">FRS extended - SPI'd  household net income (OECD)</t>
  </si>
  <si>
    <t xml:space="preserve">Renamed ESNINCHH</t>
  </si>
  <si>
    <t xml:space="preserve">ESOTHMBU</t>
  </si>
  <si>
    <t xml:space="preserve">FRS extended - SPI'd  other deductions for the benefit unit (McClements)</t>
  </si>
  <si>
    <t xml:space="preserve">Use ESOTHOBU</t>
  </si>
  <si>
    <t xml:space="preserve">ESOTHMHH</t>
  </si>
  <si>
    <t xml:space="preserve">FRS extended - SPI'd  other deductions for the household (McClements)</t>
  </si>
  <si>
    <t xml:space="preserve">Use ESOTHOHH</t>
  </si>
  <si>
    <t xml:space="preserve">ESOTHOBU</t>
  </si>
  <si>
    <t xml:space="preserve">FRS extended - SPI'd  other deductions for the benefit unit (OECD)</t>
  </si>
  <si>
    <t xml:space="preserve">Renamed ESOTHDBU</t>
  </si>
  <si>
    <t xml:space="preserve">ESOTHDBU</t>
  </si>
  <si>
    <t xml:space="preserve">FRS extended - SPI'd  other deductions for the benefit unit</t>
  </si>
  <si>
    <t xml:space="preserve">ESOTHOHH</t>
  </si>
  <si>
    <t xml:space="preserve">FRS extended - SPI'd  other deductions for the household (OECD)</t>
  </si>
  <si>
    <t xml:space="preserve">Renamed ESOTHDHH</t>
  </si>
  <si>
    <t xml:space="preserve">ESOTHDHH</t>
  </si>
  <si>
    <t xml:space="preserve">FRS extended - SPI'd  other deductions for the household</t>
  </si>
  <si>
    <t xml:space="preserve">ESPRIBBU</t>
  </si>
  <si>
    <t xml:space="preserve">FRS extended - SPI'd private benefit income for the benefit unit</t>
  </si>
  <si>
    <t xml:space="preserve">ESPRIBHD</t>
  </si>
  <si>
    <t xml:space="preserve">FRS extended - SPI'd private benefit income for the head of the benefit unit</t>
  </si>
  <si>
    <t xml:space="preserve">ESPRIBHH</t>
  </si>
  <si>
    <t xml:space="preserve">FRS extended - SPI'd private benefit income for the household</t>
  </si>
  <si>
    <t xml:space="preserve">ESPRIBSP</t>
  </si>
  <si>
    <t xml:space="preserve">FRS extended - SPI'd private benefit income for the spouse of the benefit unit</t>
  </si>
  <si>
    <t xml:space="preserve">ETHGRPHH</t>
  </si>
  <si>
    <t xml:space="preserve">Ethnic group of household</t>
  </si>
  <si>
    <t xml:space="preserve">ETHGRPHHPUB</t>
  </si>
  <si>
    <t xml:space="preserve">FAMBU</t>
  </si>
  <si>
    <t xml:space="preserve">The family type of the benefit unit</t>
  </si>
  <si>
    <t xml:space="preserve">Use NEWFAMBU</t>
  </si>
  <si>
    <t xml:space="preserve">FSBBU</t>
  </si>
  <si>
    <t xml:space="preserve">BU-Value of Free school breakfast</t>
  </si>
  <si>
    <t xml:space="preserve">2012/13+</t>
  </si>
  <si>
    <t xml:space="preserve">FSFVBU</t>
  </si>
  <si>
    <t xml:space="preserve">BU-Value of Free school fruit and veg</t>
  </si>
  <si>
    <t xml:space="preserve">FAMTHBAI</t>
  </si>
  <si>
    <t xml:space="preserve">Family type-HBAI definition</t>
  </si>
  <si>
    <t xml:space="preserve">1994/95-2007/08</t>
  </si>
  <si>
    <t xml:space="preserve">FCBU</t>
  </si>
  <si>
    <t xml:space="preserve">Amount of Family Credit for the Benefit Unit</t>
  </si>
  <si>
    <t xml:space="preserve">1994/95-1998/99</t>
  </si>
  <si>
    <t xml:space="preserve">FSMBU</t>
  </si>
  <si>
    <t xml:space="preserve">BU-Value of Free school meals</t>
  </si>
  <si>
    <t xml:space="preserve">1997/98+</t>
  </si>
  <si>
    <t xml:space="preserve">FSMLKBU</t>
  </si>
  <si>
    <t xml:space="preserve">BU-Value of Free school milk</t>
  </si>
  <si>
    <t xml:space="preserve">FWMLKBU</t>
  </si>
  <si>
    <t xml:space="preserve">BU-Value of Free welfare milk</t>
  </si>
  <si>
    <t xml:space="preserve">1997/98-2007/08</t>
  </si>
  <si>
    <t xml:space="preserve">GINSEBU</t>
  </si>
  <si>
    <t xml:space="preserve">Total gross self-employment income for benefit unit</t>
  </si>
  <si>
    <t xml:space="preserve">GNEWHHP</t>
  </si>
  <si>
    <t xml:space="preserve">Household level population weight</t>
  </si>
  <si>
    <t xml:space="preserve">2001/02+</t>
  </si>
  <si>
    <t xml:space="preserve">Use G_NEWHH</t>
  </si>
  <si>
    <t xml:space="preserve">GNEWPPH</t>
  </si>
  <si>
    <t xml:space="preserve">FRS extended -  household level population weight</t>
  </si>
  <si>
    <t xml:space="preserve">GSNEWPPH</t>
  </si>
  <si>
    <t xml:space="preserve">SPI'd household level population weight</t>
  </si>
  <si>
    <t xml:space="preserve">Use GS_NEWHH</t>
  </si>
  <si>
    <t xml:space="preserve">GS_INDAD</t>
  </si>
  <si>
    <t xml:space="preserve">SPI'd grossing factor for an adult - individual level dataset only</t>
  </si>
  <si>
    <t xml:space="preserve">GS_INDBU</t>
  </si>
  <si>
    <t xml:space="preserve">SPI'd grossing factor for the family (benefit unit) - individual level dataset only</t>
  </si>
  <si>
    <t xml:space="preserve">GS_INDCH</t>
  </si>
  <si>
    <t xml:space="preserve">SPI'd grossing factor for dependant children - individual level dataset only</t>
  </si>
  <si>
    <t xml:space="preserve">GS_INDHH</t>
  </si>
  <si>
    <t xml:space="preserve">SPI'd grossing factor for the household - individual level dataset only</t>
  </si>
  <si>
    <t xml:space="preserve">GS_INDPN</t>
  </si>
  <si>
    <t xml:space="preserve">SPI'd grossing factor for pensioners - individual level dataset only</t>
  </si>
  <si>
    <t xml:space="preserve">GS_INDPP</t>
  </si>
  <si>
    <t xml:space="preserve">SPI'd grossing factor for all individuals - individual level dataset only</t>
  </si>
  <si>
    <t xml:space="preserve">GS_INDWA</t>
  </si>
  <si>
    <t xml:space="preserve">SPI'd grossing factor for working-age adults - individual level dataset only</t>
  </si>
  <si>
    <t xml:space="preserve">GS_NEWAD</t>
  </si>
  <si>
    <t xml:space="preserve">FRS extended - SPI'd adult grossing factor</t>
  </si>
  <si>
    <t xml:space="preserve">GS_NEWBU</t>
  </si>
  <si>
    <t xml:space="preserve">FRS extended - SPI'd benefit unit grossing factor</t>
  </si>
  <si>
    <t xml:space="preserve">GS_NEWCH</t>
  </si>
  <si>
    <t xml:space="preserve">FRS extended - SPI'd dependant children grossing factor</t>
  </si>
  <si>
    <t xml:space="preserve">GS_NEWHH</t>
  </si>
  <si>
    <t xml:space="preserve">FRS extended - SPI'd household grossing factor</t>
  </si>
  <si>
    <t xml:space="preserve">GS_NEWPN</t>
  </si>
  <si>
    <t xml:space="preserve">FRS extended - SPI'd pensioner grossing factor</t>
  </si>
  <si>
    <t xml:space="preserve">GS_NEWPP</t>
  </si>
  <si>
    <t xml:space="preserve">FRS extended - SPI'd population grossing factor</t>
  </si>
  <si>
    <t xml:space="preserve">GS_NEWWA</t>
  </si>
  <si>
    <t xml:space="preserve">FRS extended - SPI'd working-age adults grossing factor</t>
  </si>
  <si>
    <t xml:space="preserve">GVTREGN</t>
  </si>
  <si>
    <t xml:space="preserve">Government Office Region</t>
  </si>
  <si>
    <t xml:space="preserve">G_INDAD</t>
  </si>
  <si>
    <t xml:space="preserve">Non-SPI'd grossing factor for an adult - individual level dataset only</t>
  </si>
  <si>
    <t xml:space="preserve">G_INDBU</t>
  </si>
  <si>
    <t xml:space="preserve">Non-SPI'd grossing factor for the family (benefit unit) - individual level dataset only</t>
  </si>
  <si>
    <t xml:space="preserve">G_INDCH</t>
  </si>
  <si>
    <t xml:space="preserve">Non-SPI'd grossing factor for dependant children - individual level dataset only</t>
  </si>
  <si>
    <t xml:space="preserve">G_INDHH</t>
  </si>
  <si>
    <t xml:space="preserve">Non-SPI'd grossing factor for the household - individual level dataset only</t>
  </si>
  <si>
    <t xml:space="preserve">G_INDPN</t>
  </si>
  <si>
    <t xml:space="preserve">Non-SPI'd grossing factor for pensioners - individual level dataset only</t>
  </si>
  <si>
    <t xml:space="preserve">G_INDPP</t>
  </si>
  <si>
    <t xml:space="preserve">Non-SPI'd grossing factor for all individuals - individual level dataset only</t>
  </si>
  <si>
    <t xml:space="preserve">G_INDWA</t>
  </si>
  <si>
    <t xml:space="preserve">Non-SPI'd grossing factor for working-age adults - individual level dataset only</t>
  </si>
  <si>
    <t xml:space="preserve">G_NEWAD</t>
  </si>
  <si>
    <t xml:space="preserve">FRS extended - adult grossing factor</t>
  </si>
  <si>
    <t xml:space="preserve">G_NEWBU</t>
  </si>
  <si>
    <t xml:space="preserve">FRS extended - benefit unit grossing factor</t>
  </si>
  <si>
    <t xml:space="preserve">G_NEWCH</t>
  </si>
  <si>
    <t xml:space="preserve">FRS extended - dependant children grossing factor</t>
  </si>
  <si>
    <t xml:space="preserve">G_NEWHH</t>
  </si>
  <si>
    <t xml:space="preserve">FRS extended - household grossing factor</t>
  </si>
  <si>
    <t xml:space="preserve">G_NEWPN</t>
  </si>
  <si>
    <t xml:space="preserve">FRS extended - pensioner grossing factor</t>
  </si>
  <si>
    <t xml:space="preserve">G_NEWPP</t>
  </si>
  <si>
    <t xml:space="preserve">FRS extended - population grossing factor</t>
  </si>
  <si>
    <t xml:space="preserve">G_NEWWA</t>
  </si>
  <si>
    <t xml:space="preserve">FRS extended - working-age adult grossing factor</t>
  </si>
  <si>
    <t xml:space="preserve">HBENBU</t>
  </si>
  <si>
    <t xml:space="preserve">Benefit unit level housing benefit income</t>
  </si>
  <si>
    <t xml:space="preserve">1994/95-1995/96, 1997/98+</t>
  </si>
  <si>
    <t xml:space="preserve">Use EHBENBU</t>
  </si>
  <si>
    <t xml:space="preserve">HBENHH</t>
  </si>
  <si>
    <t xml:space="preserve">Household housing benefit income</t>
  </si>
  <si>
    <t xml:space="preserve">Use EHBENHH</t>
  </si>
  <si>
    <t xml:space="preserve">HBENINBU</t>
  </si>
  <si>
    <t xml:space="preserve">FES equivalent - total benefit income for the benefit unit</t>
  </si>
  <si>
    <t xml:space="preserve">Use EHBENINBU</t>
  </si>
  <si>
    <t xml:space="preserve">HBENINHH</t>
  </si>
  <si>
    <t xml:space="preserve">FES equivalent - total benefit income for the household</t>
  </si>
  <si>
    <t xml:space="preserve">Use EHBENINHH</t>
  </si>
  <si>
    <t xml:space="preserve">HBMORT</t>
  </si>
  <si>
    <t xml:space="preserve">FES equivalent - mortgage interest component of housing costs</t>
  </si>
  <si>
    <t xml:space="preserve">Use HBXMORT</t>
  </si>
  <si>
    <t xml:space="preserve">HBXMORT</t>
  </si>
  <si>
    <t xml:space="preserve">FRS extended - mortgage interest component of housing costs</t>
  </si>
  <si>
    <t xml:space="preserve">HGRERNBU</t>
  </si>
  <si>
    <t xml:space="preserve">FES equivalent - gross earnings for the benefit unit</t>
  </si>
  <si>
    <t xml:space="preserve">Use EGRERNBU</t>
  </si>
  <si>
    <t xml:space="preserve">HGRERNHH</t>
  </si>
  <si>
    <t xml:space="preserve">FES equivalent - gross earnings for the houshold</t>
  </si>
  <si>
    <t xml:space="preserve">Use EGRERNHH</t>
  </si>
  <si>
    <t xml:space="preserve">HGRINCBU</t>
  </si>
  <si>
    <t xml:space="preserve">FES equivalent - gross income for the benefit unit</t>
  </si>
  <si>
    <t xml:space="preserve">Use EGRINCBU</t>
  </si>
  <si>
    <t xml:space="preserve">HGRINCHH</t>
  </si>
  <si>
    <t xml:space="preserve">FES equivalent - gross income for the household</t>
  </si>
  <si>
    <t xml:space="preserve">Use EGRINCHH</t>
  </si>
  <si>
    <t xml:space="preserve">HGRINVBU</t>
  </si>
  <si>
    <t xml:space="preserve">FES equivalent - gross investment income for the benefit unit</t>
  </si>
  <si>
    <t xml:space="preserve">Added in Oct19 update</t>
  </si>
  <si>
    <t xml:space="preserve">HGRINVHH</t>
  </si>
  <si>
    <t xml:space="preserve">FES equivalent - gross investment income for the household</t>
  </si>
  <si>
    <t xml:space="preserve">HGROCCBU</t>
  </si>
  <si>
    <t xml:space="preserve">FES equivalent - gross occupational pension income for the benefit unit</t>
  </si>
  <si>
    <t xml:space="preserve">HGROCCHH</t>
  </si>
  <si>
    <t xml:space="preserve">FES equivalent - gross occupational pension income for the household</t>
  </si>
  <si>
    <t xml:space="preserve">HHCOST</t>
  </si>
  <si>
    <t xml:space="preserve">FES equivalent - total housing costs</t>
  </si>
  <si>
    <t xml:space="preserve">HHSTAT</t>
  </si>
  <si>
    <t xml:space="preserve">Household status (conventional/shared)</t>
  </si>
  <si>
    <t xml:space="preserve">HHSTATUS</t>
  </si>
  <si>
    <t xml:space="preserve">Economic status of the household</t>
  </si>
  <si>
    <t xml:space="preserve">HMISCIBU</t>
  </si>
  <si>
    <t xml:space="preserve">FES equivalent - total miscellaneous income for the benefit unit</t>
  </si>
  <si>
    <t xml:space="preserve">Use EMISCBU</t>
  </si>
  <si>
    <t xml:space="preserve">HMISCIHH</t>
  </si>
  <si>
    <t xml:space="preserve">FES equivalent - total miscellaneous income for the household</t>
  </si>
  <si>
    <t xml:space="preserve">Use EMISCHH</t>
  </si>
  <si>
    <t xml:space="preserve">HNTERNBU</t>
  </si>
  <si>
    <t xml:space="preserve">FES equivalent - net earnings for the benefit unit</t>
  </si>
  <si>
    <t xml:space="preserve">Use ENTERNBU</t>
  </si>
  <si>
    <t xml:space="preserve">HNTERNHH</t>
  </si>
  <si>
    <t xml:space="preserve">FES equivalent - net earnings for the household</t>
  </si>
  <si>
    <t xml:space="preserve">Use ENTERNHH</t>
  </si>
  <si>
    <t xml:space="preserve">HNTINCBU</t>
  </si>
  <si>
    <t xml:space="preserve">FES equivalent - net income for the benefit unit</t>
  </si>
  <si>
    <t xml:space="preserve">HNTINCHH</t>
  </si>
  <si>
    <t xml:space="preserve">FES equivalent - net income for the household</t>
  </si>
  <si>
    <t xml:space="preserve">HNTINVBU</t>
  </si>
  <si>
    <t xml:space="preserve">FES equivalent - net investment income for the benefit unit</t>
  </si>
  <si>
    <t xml:space="preserve">HNTINVHH</t>
  </si>
  <si>
    <t xml:space="preserve">FES equivalent - net investment income for the household</t>
  </si>
  <si>
    <t xml:space="preserve">HNTOCCBU</t>
  </si>
  <si>
    <t xml:space="preserve">FES equivalent - net occupational pension income for the benefit unit</t>
  </si>
  <si>
    <t xml:space="preserve">HNTOCCHH</t>
  </si>
  <si>
    <t xml:space="preserve">FES equivalent - net occupational pension income for the household</t>
  </si>
  <si>
    <t xml:space="preserve">HPRIBNBU</t>
  </si>
  <si>
    <t xml:space="preserve">FES equivalent - private benefit income for the benefit unit</t>
  </si>
  <si>
    <t xml:space="preserve">Use EPRIBNBU</t>
  </si>
  <si>
    <t xml:space="preserve">HPRIBNHH</t>
  </si>
  <si>
    <t xml:space="preserve">FES equivalent - private benefit income for the household</t>
  </si>
  <si>
    <t xml:space="preserve">Use EPRIBNHH</t>
  </si>
  <si>
    <t xml:space="preserve">HRENTHH</t>
  </si>
  <si>
    <t xml:space="preserve">FES equivalent - gross rent for the household</t>
  </si>
  <si>
    <t xml:space="preserve">Use ERENTHH</t>
  </si>
  <si>
    <t xml:space="preserve">HSBENIBU</t>
  </si>
  <si>
    <t xml:space="preserve">FES equivalent - SPI'd total benefit income for the benefit unit</t>
  </si>
  <si>
    <t xml:space="preserve">1994/95-1995/96</t>
  </si>
  <si>
    <t xml:space="preserve">Use ESBENIBU</t>
  </si>
  <si>
    <t xml:space="preserve">HSBENIHH</t>
  </si>
  <si>
    <t xml:space="preserve">FES equivalent - SPI'd total benefit income for the household</t>
  </si>
  <si>
    <t xml:space="preserve">Use ESBENIHH</t>
  </si>
  <si>
    <t xml:space="preserve">HSGINCBU</t>
  </si>
  <si>
    <t xml:space="preserve">FES equivalent - SPI'd gross income for the benefit unit</t>
  </si>
  <si>
    <t xml:space="preserve">Use ESGINCBU</t>
  </si>
  <si>
    <t xml:space="preserve">HSGINCHH</t>
  </si>
  <si>
    <t xml:space="preserve">FES equivalent - SPI'd gross income for the household</t>
  </si>
  <si>
    <t xml:space="preserve">Use ESGINCHH</t>
  </si>
  <si>
    <t xml:space="preserve">HSNINCBU</t>
  </si>
  <si>
    <t xml:space="preserve">FES equivalent - SPI'd net income for the benefit unit</t>
  </si>
  <si>
    <t xml:space="preserve">HSNINCHH</t>
  </si>
  <si>
    <t xml:space="preserve">FES equivalent - SPI'd net income for the household</t>
  </si>
  <si>
    <t xml:space="preserve">INCHILBU</t>
  </si>
  <si>
    <t xml:space="preserve">Total childrens income in the benefit unit</t>
  </si>
  <si>
    <t xml:space="preserve">INCHILHH</t>
  </si>
  <si>
    <t xml:space="preserve">Total childrens income in the household</t>
  </si>
  <si>
    <t xml:space="preserve">INCPAY</t>
  </si>
  <si>
    <t xml:space="preserve">Total insurance premia for the household</t>
  </si>
  <si>
    <t xml:space="preserve">INSEBU</t>
  </si>
  <si>
    <t xml:space="preserve">Total net self-employment earnings for the benefit unit</t>
  </si>
  <si>
    <t xml:space="preserve">ISBU</t>
  </si>
  <si>
    <t xml:space="preserve">Total income support for the benefit unit</t>
  </si>
  <si>
    <t xml:space="preserve">KID0_1</t>
  </si>
  <si>
    <t xml:space="preserve">Number of children aged 0 and 1 in the benefit unit</t>
  </si>
  <si>
    <t xml:space="preserve">KID2_4</t>
  </si>
  <si>
    <t xml:space="preserve">Number of children aged 2,3 and 4 in the benefit unit</t>
  </si>
  <si>
    <t xml:space="preserve">KID5_7</t>
  </si>
  <si>
    <t xml:space="preserve">Number of children aged 5, 6 and 7 in the benefit unit</t>
  </si>
  <si>
    <t xml:space="preserve">KID8_10</t>
  </si>
  <si>
    <t xml:space="preserve">Number of children aged 8, 9 and 10 in the benefit unit</t>
  </si>
  <si>
    <t xml:space="preserve">KID11_12</t>
  </si>
  <si>
    <t xml:space="preserve">Number of children aged 11 and 12 in the benefit unit</t>
  </si>
  <si>
    <t xml:space="preserve">KID13_15</t>
  </si>
  <si>
    <t xml:space="preserve">Number of children aged 13, 14 and 15 in the benefit unit</t>
  </si>
  <si>
    <t xml:space="preserve">KID16_18</t>
  </si>
  <si>
    <t xml:space="preserve">Number of children aged 16, 17 and 18 in the benefit unit</t>
  </si>
  <si>
    <t xml:space="preserve">Renamed KID16plus</t>
  </si>
  <si>
    <t xml:space="preserve">1994/95-2005/06</t>
  </si>
  <si>
    <t xml:space="preserve">KID16_19</t>
  </si>
  <si>
    <t xml:space="preserve">Number of children aged 16, 17, 18 and 19 in the benefit unit</t>
  </si>
  <si>
    <t xml:space="preserve">2006/07+</t>
  </si>
  <si>
    <t xml:space="preserve">KID16PLUS</t>
  </si>
  <si>
    <t xml:space="preserve">Number of children aged 16 and over in the benefit unit</t>
  </si>
  <si>
    <t xml:space="preserve">KIDECOBU</t>
  </si>
  <si>
    <t xml:space="preserve">Children's economic status</t>
  </si>
  <si>
    <t xml:space="preserve">KIDSBU0</t>
  </si>
  <si>
    <t xml:space="preserve">Number of Dependents under age 1</t>
  </si>
  <si>
    <t xml:space="preserve">1996/97-2004/05</t>
  </si>
  <si>
    <t xml:space="preserve">KIDSBU1</t>
  </si>
  <si>
    <t xml:space="preserve">Number of Dependents aged 1</t>
  </si>
  <si>
    <t xml:space="preserve">KIDSBU2</t>
  </si>
  <si>
    <t xml:space="preserve">Number of Dependents aged 2</t>
  </si>
  <si>
    <t xml:space="preserve">KIDSBU3</t>
  </si>
  <si>
    <t xml:space="preserve">Number of Dependents aged 3</t>
  </si>
  <si>
    <t xml:space="preserve">KIDSBU4</t>
  </si>
  <si>
    <t xml:space="preserve">Number of Dependents aged 4</t>
  </si>
  <si>
    <t xml:space="preserve">KIDSBU5</t>
  </si>
  <si>
    <t xml:space="preserve">Number of Dependents aged 5</t>
  </si>
  <si>
    <t xml:space="preserve">KIDSBU6</t>
  </si>
  <si>
    <t xml:space="preserve">Number of Dependents aged 6</t>
  </si>
  <si>
    <t xml:space="preserve">KIDSBU7</t>
  </si>
  <si>
    <t xml:space="preserve">Number of Dependents aged 7</t>
  </si>
  <si>
    <t xml:space="preserve">KIDSBU8</t>
  </si>
  <si>
    <t xml:space="preserve">Number of Dependents aged 8</t>
  </si>
  <si>
    <t xml:space="preserve">KIDSBU9</t>
  </si>
  <si>
    <t xml:space="preserve">Number of Dependents aged 9</t>
  </si>
  <si>
    <t xml:space="preserve">KIDSBU10</t>
  </si>
  <si>
    <t xml:space="preserve">Number of Dependents aged 10</t>
  </si>
  <si>
    <t xml:space="preserve">KIDSBU11</t>
  </si>
  <si>
    <t xml:space="preserve">Number of Dependents aged 11</t>
  </si>
  <si>
    <t xml:space="preserve">KIDSBU12</t>
  </si>
  <si>
    <t xml:space="preserve">Number of Dependents aged 12</t>
  </si>
  <si>
    <t xml:space="preserve">KIDSBU13</t>
  </si>
  <si>
    <t xml:space="preserve">Number of Dependents aged 13</t>
  </si>
  <si>
    <t xml:space="preserve">KIDSBU14</t>
  </si>
  <si>
    <t xml:space="preserve">Number of Dependents aged 14</t>
  </si>
  <si>
    <t xml:space="preserve">KIDSBU15</t>
  </si>
  <si>
    <t xml:space="preserve">Number of Dependents aged 15</t>
  </si>
  <si>
    <t xml:space="preserve">KIDSBU16</t>
  </si>
  <si>
    <t xml:space="preserve">Number of Dependents aged 16</t>
  </si>
  <si>
    <t xml:space="preserve">KIDSBU17</t>
  </si>
  <si>
    <t xml:space="preserve">Number of Dependents aged 17</t>
  </si>
  <si>
    <t xml:space="preserve">KIDSBU18</t>
  </si>
  <si>
    <t xml:space="preserve">Number of Dependents aged 18</t>
  </si>
  <si>
    <t xml:space="preserve">LOW50AHC</t>
  </si>
  <si>
    <t xml:space="preserve">Below 50% median (MDOEAHC) low income flag - AHC (S_OE_AHC is less than 0.5*MDOEAHC)</t>
  </si>
  <si>
    <t xml:space="preserve">LOW50BHC</t>
  </si>
  <si>
    <t xml:space="preserve">Below 50% median (MDOEBHC) low income flag - BHC (S_OE_BHC is less than 0.5*MDOEBHC)</t>
  </si>
  <si>
    <t xml:space="preserve">LOW60AHC</t>
  </si>
  <si>
    <t xml:space="preserve">Below 60% median (MDOEAHC) low income flag - AHC (S_OE_AHC is less than 0.6*MDOEAHC)</t>
  </si>
  <si>
    <t xml:space="preserve">LOW60BHC</t>
  </si>
  <si>
    <t xml:space="preserve">Below 60% median (MDOEBHC) low income flag - BHC (S_OE_BHC is less than 0.6*MDOEBHC)</t>
  </si>
  <si>
    <t xml:space="preserve">LOW70AHC</t>
  </si>
  <si>
    <t xml:space="preserve">Below 70% median (MDOEAHC) low income flag - AHC (S_OE_AHC is less than 0.7*MDOEAHC)</t>
  </si>
  <si>
    <t xml:space="preserve">LOW70BHC</t>
  </si>
  <si>
    <t xml:space="preserve">Below 70% median (MDOEBHC) low income flag - BHC (S_OE_BHC is less than 0.7*MDOEBHC)</t>
  </si>
  <si>
    <t xml:space="preserve">LOWMCAHC</t>
  </si>
  <si>
    <t xml:space="preserve">60% median (MDMCAHC) low income flag - AHC (S_MC_AHC is less than 0.6*MDMCAHC)</t>
  </si>
  <si>
    <t xml:space="preserve">LOWMCBHC</t>
  </si>
  <si>
    <t xml:space="preserve">60% median (MDMCBHC) low income flag - BHC (S_MC_BHC is less than 0.6*MDMCBHC)</t>
  </si>
  <si>
    <t xml:space="preserve">LOW50AHCABS</t>
  </si>
  <si>
    <t xml:space="preserve">Below 50% of 2010/11 absolute median income (AHC) in latest prices</t>
  </si>
  <si>
    <t xml:space="preserve">LOW50BHCABS</t>
  </si>
  <si>
    <t xml:space="preserve">Below 50% of 2010/11 absolute median income (BHC) in latest prices</t>
  </si>
  <si>
    <t xml:space="preserve">LOW60AHCABS</t>
  </si>
  <si>
    <t xml:space="preserve">Below 60% of 2010/11 absolute median income (AHC) in latest prices</t>
  </si>
  <si>
    <t xml:space="preserve">LOW60BHCABS</t>
  </si>
  <si>
    <t xml:space="preserve">Below 60% of 2010/11 absolute median income (BHC) in latest prices</t>
  </si>
  <si>
    <t xml:space="preserve">LOW70AHCABS</t>
  </si>
  <si>
    <t xml:space="preserve">Below 70% of 2010/11 absolute median income (AHC) in latest prices</t>
  </si>
  <si>
    <t xml:space="preserve">LOW70BHCABS</t>
  </si>
  <si>
    <t xml:space="preserve">Below 70% of 2010/11 absolute median income (BHC) in latest prices</t>
  </si>
  <si>
    <t xml:space="preserve">LOWINCMDCH</t>
  </si>
  <si>
    <t xml:space="preserve">Flag to indicate Child combined low inc/MD threshold (MDSCORECH is greater or equal to 25 and LOW70BHC=1)</t>
  </si>
  <si>
    <t xml:space="preserve">2004/05+</t>
  </si>
  <si>
    <t xml:space="preserve">LOWINCMDCHSEV</t>
  </si>
  <si>
    <t xml:space="preserve">Flag to indicate severe Child combined low inc/MD threshold (MDSCORECH is greater or equal to 25 and LOW50BHC=1)</t>
  </si>
  <si>
    <t xml:space="preserve">MARITAL</t>
  </si>
  <si>
    <t xml:space="preserve">Marital Status of Adults in the Family</t>
  </si>
  <si>
    <t xml:space="preserve">All</t>
  </si>
  <si>
    <t xml:space="preserve">MAHCDEC</t>
  </si>
  <si>
    <t xml:space="preserve">AHC deciles from S_MC_AHC income variable, including self-employed (McClements)</t>
  </si>
  <si>
    <t xml:space="preserve">Use OAHCDEC</t>
  </si>
  <si>
    <t xml:space="preserve">MAHCDECX</t>
  </si>
  <si>
    <t xml:space="preserve">AHC deciles from S_MC_AHC income variable, excluding self-employed (McClements)</t>
  </si>
  <si>
    <t xml:space="preserve">1996/97-2001/02</t>
  </si>
  <si>
    <t xml:space="preserve">MBHCDEC</t>
  </si>
  <si>
    <t xml:space="preserve">BHC deciles from S_MC_BHC income variable, including self-employed (McClements)</t>
  </si>
  <si>
    <t xml:space="preserve">Use OBHCDEC</t>
  </si>
  <si>
    <t xml:space="preserve">MBHCDECX</t>
  </si>
  <si>
    <t xml:space="preserve">BHC deciles from S_MC_BHC income variable, excluding self-employed (McClements)</t>
  </si>
  <si>
    <t xml:space="preserve">MC_AHC</t>
  </si>
  <si>
    <t xml:space="preserve">FRS extended - deflated, equivalised AHC income (McClements)</t>
  </si>
  <si>
    <t xml:space="preserve">Use OE_AHC</t>
  </si>
  <si>
    <t xml:space="preserve">MC_BHC</t>
  </si>
  <si>
    <t xml:space="preserve">FRS extended - deflated, equivalised BHC income (McClements)</t>
  </si>
  <si>
    <t xml:space="preserve">Use OE_BHC</t>
  </si>
  <si>
    <t xml:space="preserve">MC_GRO</t>
  </si>
  <si>
    <t xml:space="preserve">FRS extended - deflated, equivalised gross income (McClements)</t>
  </si>
  <si>
    <t xml:space="preserve">Use OE_GRO</t>
  </si>
  <si>
    <t xml:space="preserve">MDCH</t>
  </si>
  <si>
    <t xml:space="preserve">Flag to indicate above Child MD threshold (MDSCORECH is greater or equal to 25)</t>
  </si>
  <si>
    <t xml:space="preserve">MDMCAHC</t>
  </si>
  <si>
    <t xml:space="preserve">The median of S_MC_AHC</t>
  </si>
  <si>
    <t xml:space="preserve">Use MDOEAHC</t>
  </si>
  <si>
    <t xml:space="preserve">MDMCAHCX</t>
  </si>
  <si>
    <t xml:space="preserve">The median of S_MC_AHC, excluding the self-employed</t>
  </si>
  <si>
    <t xml:space="preserve">MDMCBHC</t>
  </si>
  <si>
    <t xml:space="preserve">The median of S_MC_BHC</t>
  </si>
  <si>
    <t xml:space="preserve">Use MDOEBHC</t>
  </si>
  <si>
    <t xml:space="preserve">MDMCBHCX</t>
  </si>
  <si>
    <t xml:space="preserve">The median of S_MC_BHC, excluding the self-employed</t>
  </si>
  <si>
    <t xml:space="preserve">MDOEAHC</t>
  </si>
  <si>
    <t xml:space="preserve">The median of S_OE_AHC</t>
  </si>
  <si>
    <t xml:space="preserve">MDOEAHCX</t>
  </si>
  <si>
    <t xml:space="preserve">The median of S_OE_AHC, excluding the self-employed</t>
  </si>
  <si>
    <t xml:space="preserve">MDOEBHC</t>
  </si>
  <si>
    <t xml:space="preserve">The median of S_OE_BHC</t>
  </si>
  <si>
    <t xml:space="preserve">MDOEBHCX</t>
  </si>
  <si>
    <t xml:space="preserve">The median of S_OE_BHC, excluding the self-employed</t>
  </si>
  <si>
    <t xml:space="preserve">MNMCAHC</t>
  </si>
  <si>
    <t xml:space="preserve">The average of S_MC_AHC</t>
  </si>
  <si>
    <t xml:space="preserve">MNMCAHCX</t>
  </si>
  <si>
    <t xml:space="preserve">The average of S_MC_AHC, excluding the self-employed</t>
  </si>
  <si>
    <t xml:space="preserve">MNMCBHC</t>
  </si>
  <si>
    <t xml:space="preserve">The average of S_MC_BHC</t>
  </si>
  <si>
    <t xml:space="preserve">MNMCBHCX</t>
  </si>
  <si>
    <t xml:space="preserve">The average of S_MC_BHC, excluding the self-employed</t>
  </si>
  <si>
    <t xml:space="preserve">MDPN</t>
  </si>
  <si>
    <t xml:space="preserve">Flag to indicate above Pensioner MD threshold (MDSCOREPN is greater or equal to 20)</t>
  </si>
  <si>
    <t xml:space="preserve">MDSCORECH</t>
  </si>
  <si>
    <t xml:space="preserve">Total Child Material Deprivation score based on the FRS material deprivation suite of questions</t>
  </si>
  <si>
    <t xml:space="preserve">Reset - see mdscorech and mdscorechold below</t>
  </si>
  <si>
    <t xml:space="preserve">Use new mdscorech and mdscorechold variable below</t>
  </si>
  <si>
    <t xml:space="preserve">MDSCORECHNEW</t>
  </si>
  <si>
    <t xml:space="preserve">Total Child Material Deprivation score based on the new FRS material deprivation suite of questions</t>
  </si>
  <si>
    <t xml:space="preserve">2010/11</t>
  </si>
  <si>
    <t xml:space="preserve">New questions, including 2010/11 </t>
  </si>
  <si>
    <t xml:space="preserve">2010/11+</t>
  </si>
  <si>
    <t xml:space="preserve">MDSCORECHOLD</t>
  </si>
  <si>
    <t xml:space="preserve">Total Child Material Deprivation score based on the old FRS material deprivation suite of questions</t>
  </si>
  <si>
    <t xml:space="preserve">Old questions, including 2010/11 </t>
  </si>
  <si>
    <t xml:space="preserve">2004/05 - 2010/11</t>
  </si>
  <si>
    <t xml:space="preserve">MDSCOREPN</t>
  </si>
  <si>
    <t xml:space="preserve">Total Pensioner Material Deprivation score based on the FRS material deprivation suite of questions</t>
  </si>
  <si>
    <t xml:space="preserve">MNOEAHC</t>
  </si>
  <si>
    <t xml:space="preserve">The average of S_OE_AHC</t>
  </si>
  <si>
    <t xml:space="preserve">Recalculated for all years</t>
  </si>
  <si>
    <t xml:space="preserve">MNOEAHCX</t>
  </si>
  <si>
    <t xml:space="preserve">The average of S_OE_AHC, excluding the self-employed</t>
  </si>
  <si>
    <t xml:space="preserve">MNOEBHC</t>
  </si>
  <si>
    <t xml:space="preserve">The average of S_OE_BHC</t>
  </si>
  <si>
    <t xml:space="preserve">MNOEBHCX</t>
  </si>
  <si>
    <t xml:space="preserve">The average of S_OE_BHC, excluding the self-employed</t>
  </si>
  <si>
    <t xml:space="preserve">MQINAHC</t>
  </si>
  <si>
    <t xml:space="preserve">AHC quintiles from s_newahc income variable, including self-employed</t>
  </si>
  <si>
    <t xml:space="preserve">Use OQINAHC</t>
  </si>
  <si>
    <t xml:space="preserve">MQINAHCX</t>
  </si>
  <si>
    <t xml:space="preserve">AHC quintiles from s_newahc income variable, excluding self-employed</t>
  </si>
  <si>
    <t xml:space="preserve">MQINBHC</t>
  </si>
  <si>
    <t xml:space="preserve">BHC quintiles from s_newbhc income variable, including self-employed</t>
  </si>
  <si>
    <t xml:space="preserve">Use OQINBHC</t>
  </si>
  <si>
    <t xml:space="preserve">MQINBHCX</t>
  </si>
  <si>
    <t xml:space="preserve">BHC quintiles from s_newahc income variable, excluding self-employed</t>
  </si>
  <si>
    <t xml:space="preserve">NETINCM1</t>
  </si>
  <si>
    <t xml:space="preserve">Net Income (Individual Income series) for the First Man in the Benefit Unit</t>
  </si>
  <si>
    <t xml:space="preserve">2004/05-2005/06</t>
  </si>
  <si>
    <t xml:space="preserve">NETINCM2</t>
  </si>
  <si>
    <t xml:space="preserve">Net Income (Individual Income series) for the Second Man in the Benefit Unit</t>
  </si>
  <si>
    <t xml:space="preserve">NETINCW1</t>
  </si>
  <si>
    <t xml:space="preserve">Net Income (Individual Income series) for the First Woman in the Benefit Unit</t>
  </si>
  <si>
    <t xml:space="preserve">NETINCW2</t>
  </si>
  <si>
    <t xml:space="preserve">Net Income (Individual Income series) for the Second Woman in the Benefit Unit</t>
  </si>
  <si>
    <t xml:space="preserve">NEWFAMBU</t>
  </si>
  <si>
    <t xml:space="preserve">New family type for the benefit unit</t>
  </si>
  <si>
    <t xml:space="preserve">NEWGVTREGN</t>
  </si>
  <si>
    <t xml:space="preserve">Government Office Region - harmonised codes</t>
  </si>
  <si>
    <t xml:space="preserve">All years</t>
  </si>
  <si>
    <t xml:space="preserve">NUMBKIDS</t>
  </si>
  <si>
    <t xml:space="preserve">Number of children in family</t>
  </si>
  <si>
    <t xml:space="preserve">OAHCDEC</t>
  </si>
  <si>
    <t xml:space="preserve">AHC deciles from S_OE_AHC income variable, including self-employed (OECD)</t>
  </si>
  <si>
    <t xml:space="preserve">OAHCDECX</t>
  </si>
  <si>
    <t xml:space="preserve">AHC deciles from S_OE_AHC income variable, excluding self-employed (OECD)</t>
  </si>
  <si>
    <t xml:space="preserve">OBHCDEC</t>
  </si>
  <si>
    <t xml:space="preserve">BHC deciles from S_OE_BHC income variable, including self-employed (OECD)</t>
  </si>
  <si>
    <t xml:space="preserve">OBHCDECX</t>
  </si>
  <si>
    <t xml:space="preserve">BHC deciles from S_OE_BHC income variable, excluding self-employed (OECD)</t>
  </si>
  <si>
    <t xml:space="preserve">OE_AHC</t>
  </si>
  <si>
    <t xml:space="preserve">FRS extended - deflated, equivalised AHC income (OECD)</t>
  </si>
  <si>
    <t xml:space="preserve">OE_AHC_RPI</t>
  </si>
  <si>
    <t xml:space="preserve">FRS extended - deflated, equivalised AHC income (OECD) - using RPI as an in-year deflator</t>
  </si>
  <si>
    <t xml:space="preserve">OE_BHC</t>
  </si>
  <si>
    <t xml:space="preserve">FRS extended - deflated, equivalised BHC income (OECD)</t>
  </si>
  <si>
    <t xml:space="preserve">OE_BHC_CPI</t>
  </si>
  <si>
    <t xml:space="preserve">FRS extended - deflated, equivalised BHC income (OECD) - using CPI as an in-year deflator</t>
  </si>
  <si>
    <t xml:space="preserve">2002/03-2013/14</t>
  </si>
  <si>
    <t xml:space="preserve">OE_BHC_CPIH</t>
  </si>
  <si>
    <t xml:space="preserve">FRS extended - deflated, equivalised BHC income (OECD) - using CPIH as an in-year deflator</t>
  </si>
  <si>
    <t xml:space="preserve">2005/06-2013/14</t>
  </si>
  <si>
    <t xml:space="preserve">OE_BHC_RPIJ</t>
  </si>
  <si>
    <t xml:space="preserve">FRS extended - deflated, equivalised BHC income (OECD) - using RPIJ as an in-year deflator</t>
  </si>
  <si>
    <t xml:space="preserve">OE_BHC_RPI</t>
  </si>
  <si>
    <t xml:space="preserve">FRS extended - deflated, equivalised BHC income (OECD) - using RPI as an in-year deflator</t>
  </si>
  <si>
    <t xml:space="preserve">OE_GRO</t>
  </si>
  <si>
    <t xml:space="preserve">FRS extended - deflated, equivalised gross income (OECD)</t>
  </si>
  <si>
    <t xml:space="preserve">OE_GRO_RPI</t>
  </si>
  <si>
    <t xml:space="preserve">FRS extended - deflated, equivalised gross income (OECD) - using RPI as an in-year deflator</t>
  </si>
  <si>
    <t xml:space="preserve">OE_GRO_CPI</t>
  </si>
  <si>
    <t xml:space="preserve">FRS extended - deflated, equivalised gross income (OECD) - using CPI as an in-year deflator</t>
  </si>
  <si>
    <t xml:space="preserve">OE_GRO_CPIH</t>
  </si>
  <si>
    <t xml:space="preserve">FRS extended - deflated, equivalised gross income (OECD) - using CPIH as an in-year deflator</t>
  </si>
  <si>
    <t xml:space="preserve">OE_GRO_RPIJ</t>
  </si>
  <si>
    <t xml:space="preserve">FRS extended - deflated, equivalised gross income (OECD) - using RPIJ as an in-year deflator</t>
  </si>
  <si>
    <t xml:space="preserve">OLDECOBU</t>
  </si>
  <si>
    <t xml:space="preserve">Economic status of the benefit unit (old derivation using FRS variable EMPSTATC)</t>
  </si>
  <si>
    <t xml:space="preserve">OLDKIDECOBU</t>
  </si>
  <si>
    <t xml:space="preserve">Children's economic status (old derivation using FRS variable EMPSTATC)</t>
  </si>
  <si>
    <t xml:space="preserve">OLDSEHHFLG</t>
  </si>
  <si>
    <t xml:space="preserve">Number of full time self-employed persons in the household (old derivation using FRS variable EMPSTATC)</t>
  </si>
  <si>
    <t xml:space="preserve">OQINAHC</t>
  </si>
  <si>
    <t xml:space="preserve">AHC quintiles from S_OE_AHC income variable, including self-employed</t>
  </si>
  <si>
    <t xml:space="preserve">OQINAHCX</t>
  </si>
  <si>
    <t xml:space="preserve">AHC quintiles from S_OE_AHC income variable, excluding self-employed</t>
  </si>
  <si>
    <t xml:space="preserve">OQINBHC</t>
  </si>
  <si>
    <t xml:space="preserve">BHC quintiles from S_OE_BHC income variable, including self-employed</t>
  </si>
  <si>
    <t xml:space="preserve">OQINBHCX</t>
  </si>
  <si>
    <t xml:space="preserve">AHC quintiles from S_OE_BHC income variable, excluding self-employed</t>
  </si>
  <si>
    <t xml:space="preserve">OVER14</t>
  </si>
  <si>
    <t xml:space="preserve">Number of children over 14 years of age in the household (OECD)</t>
  </si>
  <si>
    <t xml:space="preserve">PENFLAGHD</t>
  </si>
  <si>
    <t xml:space="preserve">Whether is State Pension Age (Head)</t>
  </si>
  <si>
    <t xml:space="preserve">Derived for all years</t>
  </si>
  <si>
    <t xml:space="preserve">PENFLAGSP</t>
  </si>
  <si>
    <t xml:space="preserve">Whether is State Pension Age (Spouse)</t>
  </si>
  <si>
    <t xml:space="preserve">PERSON</t>
  </si>
  <si>
    <t xml:space="preserve">Person Number within the household</t>
  </si>
  <si>
    <t xml:space="preserve">Added for all years</t>
  </si>
  <si>
    <t xml:space="preserve">PERSONHD</t>
  </si>
  <si>
    <t xml:space="preserve">Person Number of the head of the benefit unit within household</t>
  </si>
  <si>
    <t xml:space="preserve">PERSONSP</t>
  </si>
  <si>
    <t xml:space="preserve">Person Number of the spouse of the benefit unit within household</t>
  </si>
  <si>
    <t xml:space="preserve">PTENTYPE</t>
  </si>
  <si>
    <t xml:space="preserve">FRS Tenure Type - Published</t>
  </si>
  <si>
    <t xml:space="preserve">Renamed ptentyp2</t>
  </si>
  <si>
    <t xml:space="preserve">1994/95-2002/03</t>
  </si>
  <si>
    <t xml:space="preserve">PTENTYP2</t>
  </si>
  <si>
    <t xml:space="preserve">Tenure Type - Published</t>
  </si>
  <si>
    <t xml:space="preserve">2003/04+</t>
  </si>
  <si>
    <t xml:space="preserve">RENTBU</t>
  </si>
  <si>
    <t xml:space="preserve">FES equivalent - rent component of housing costs for the benefit unit</t>
  </si>
  <si>
    <t xml:space="preserve">S_MC_AHC</t>
  </si>
  <si>
    <t xml:space="preserve">FRS extended - deflated, equivalised, new SPI AHC income (Mc Clements)</t>
  </si>
  <si>
    <t xml:space="preserve">Use S_OE_AHC</t>
  </si>
  <si>
    <t xml:space="preserve">S_MC_BHC</t>
  </si>
  <si>
    <t xml:space="preserve">FRS extended - deflated, equivalised, new SPI BHC income (Mc Clements)</t>
  </si>
  <si>
    <t xml:space="preserve">Use S_OE_BHC</t>
  </si>
  <si>
    <t xml:space="preserve">S_MC_GRO</t>
  </si>
  <si>
    <t xml:space="preserve">FRS extended - deflated, equivalised, new SPI gross income (Mc Clements)</t>
  </si>
  <si>
    <t xml:space="preserve">Use S_OE_GRO</t>
  </si>
  <si>
    <t xml:space="preserve">S_OE_AHC</t>
  </si>
  <si>
    <t xml:space="preserve">FRS extended - deflated, equivalised, new SPI AHC income (OECD)</t>
  </si>
  <si>
    <t xml:space="preserve">S_OE_AHC_RPI</t>
  </si>
  <si>
    <t xml:space="preserve">FRS extended - deflated, equivalised, new SPI AHC income (OECD) - using RPI as an in-year deflator</t>
  </si>
  <si>
    <t xml:space="preserve">S_OE_BHC</t>
  </si>
  <si>
    <t xml:space="preserve">FRS extended - deflated, equivalised, new SPI BHC income (OECD)</t>
  </si>
  <si>
    <t xml:space="preserve">S_OE_BHC_RPI</t>
  </si>
  <si>
    <t xml:space="preserve">FRS extended - deflated, equivalised, new SPI BHC income (OECD) - using RPI as an in-year deflator</t>
  </si>
  <si>
    <t xml:space="preserve">S_OE_BHC_CPI</t>
  </si>
  <si>
    <t xml:space="preserve">FRS extended - deflated, equivalised, new SPI BHC income (OECD) - using CPI as an in-year deflator</t>
  </si>
  <si>
    <t xml:space="preserve">S_OE_BHC_CPIH</t>
  </si>
  <si>
    <t xml:space="preserve">FRS extended - deflated, equivalised, new SPI BHC income (OECD) - using CPIH as an in-year deflator</t>
  </si>
  <si>
    <t xml:space="preserve">S_OE_BHC_RPIJ</t>
  </si>
  <si>
    <t xml:space="preserve">FRS extended - deflated, equivalised, new SPI BHC income (OECD) - using RPIJ as an in-year deflator</t>
  </si>
  <si>
    <t xml:space="preserve">S_OE_GRO</t>
  </si>
  <si>
    <t xml:space="preserve">FRS extended - deflated, equivalised, new SPI gross income (OECD)</t>
  </si>
  <si>
    <t xml:space="preserve">S_OE_GRO_RPI</t>
  </si>
  <si>
    <t xml:space="preserve">FRS extended - deflated, equivalised, new SPI gross income (OECD) - using RPI as an in-year deflator</t>
  </si>
  <si>
    <t xml:space="preserve">S_OE_GRO_CPI</t>
  </si>
  <si>
    <t xml:space="preserve">FRS extended - deflated, equivalised, new SPI gross income (OECD) - using CPI as an in-year deflator</t>
  </si>
  <si>
    <t xml:space="preserve">S_OE_GRO_CPIH</t>
  </si>
  <si>
    <t xml:space="preserve">FRS extended - deflated, equivalised, new SPI gross income (OECD) - using CPIH as an in-year deflator</t>
  </si>
  <si>
    <t xml:space="preserve">S_OE_GRO_RPIJ</t>
  </si>
  <si>
    <t xml:space="preserve">FRS extended - deflated, equivalised, new SPI gross income (OECD) - using RPIJ as an in-year deflator</t>
  </si>
  <si>
    <t xml:space="preserve">SEHHFLG</t>
  </si>
  <si>
    <t xml:space="preserve">Number of full time self-employed persons in the household</t>
  </si>
  <si>
    <t xml:space="preserve">SERNUM</t>
  </si>
  <si>
    <t xml:space="preserve">Serial number of the household</t>
  </si>
  <si>
    <t xml:space="preserve">Replaced with new_sernum</t>
  </si>
  <si>
    <t xml:space="preserve">SEWERAGE</t>
  </si>
  <si>
    <t xml:space="preserve">Sewerage charges for households in Scotland</t>
  </si>
  <si>
    <t xml:space="preserve">SEX</t>
  </si>
  <si>
    <t xml:space="preserve">Sex of individual</t>
  </si>
  <si>
    <t xml:space="preserve">SEXHD</t>
  </si>
  <si>
    <t xml:space="preserve">Sex of the head 1= Male, 2= female</t>
  </si>
  <si>
    <t xml:space="preserve">SEXSP</t>
  </si>
  <si>
    <t xml:space="preserve">Sex of the spouse</t>
  </si>
  <si>
    <t xml:space="preserve">SFRPABU</t>
  </si>
  <si>
    <t xml:space="preserve">Amount of social fund repayments from the benefit unit</t>
  </si>
  <si>
    <t xml:space="preserve">SFRPAHH</t>
  </si>
  <si>
    <t xml:space="preserve">Amount of social fund repayments from the household</t>
  </si>
  <si>
    <t xml:space="preserve">SNPHCSTM</t>
  </si>
  <si>
    <t xml:space="preserve">Average of housing costs for rich non-pensioner households (McClements)</t>
  </si>
  <si>
    <t xml:space="preserve">Use SNPHCOST</t>
  </si>
  <si>
    <t xml:space="preserve">SPHCSTM</t>
  </si>
  <si>
    <t xml:space="preserve">Average of housing costs for rich pensioner households (McClements)</t>
  </si>
  <si>
    <t xml:space="preserve">Use SPHCOST</t>
  </si>
  <si>
    <t xml:space="preserve">SNPHCSTO</t>
  </si>
  <si>
    <t xml:space="preserve">Average of housing costs for rich non-pensioner households (OECD)</t>
  </si>
  <si>
    <t xml:space="preserve">Renamed SNPHCOST</t>
  </si>
  <si>
    <t xml:space="preserve">SNPHCOST</t>
  </si>
  <si>
    <t xml:space="preserve">Average of housing costs for rich non-pensioner households</t>
  </si>
  <si>
    <t xml:space="preserve">SPHCSTO</t>
  </si>
  <si>
    <t xml:space="preserve">Average of housing costs for rich pensioner households (OECD)</t>
  </si>
  <si>
    <t xml:space="preserve">Renamed SPHCOST</t>
  </si>
  <si>
    <t xml:space="preserve">SPHCOST</t>
  </si>
  <si>
    <t xml:space="preserve">Average of housing costs for rich pensioner households</t>
  </si>
  <si>
    <t xml:space="preserve">SRENTBU</t>
  </si>
  <si>
    <t xml:space="preserve">Ben unit accumulation of rent paid by adults in shared households</t>
  </si>
  <si>
    <t xml:space="preserve">STDREGN</t>
  </si>
  <si>
    <t xml:space="preserve">Standard Statistical Region in GB</t>
  </si>
  <si>
    <t xml:space="preserve">2002/03</t>
  </si>
  <si>
    <t xml:space="preserve">TENHBAI</t>
  </si>
  <si>
    <t xml:space="preserve">Tenure of Household (HBAI recommended)</t>
  </si>
  <si>
    <t xml:space="preserve">Combines social rented sector categories together and private rented sector categories together to provide more robust information.</t>
  </si>
  <si>
    <t xml:space="preserve">TENTYPE</t>
  </si>
  <si>
    <t xml:space="preserve">The tenure type of the household </t>
  </si>
  <si>
    <t xml:space="preserve">1994/94-2002/03</t>
  </si>
  <si>
    <t xml:space="preserve">Use TENHBAI</t>
  </si>
  <si>
    <t xml:space="preserve">TENTYP2</t>
  </si>
  <si>
    <t xml:space="preserve">TENURE</t>
  </si>
  <si>
    <t xml:space="preserve">Tenure</t>
  </si>
  <si>
    <t xml:space="preserve">TOTINCM1</t>
  </si>
  <si>
    <t xml:space="preserve">Total Income (II series) for the First Man in the Benefit Unit</t>
  </si>
  <si>
    <t xml:space="preserve">TOTINCM2</t>
  </si>
  <si>
    <t xml:space="preserve">Total Income (II series) for the Second Man in the Benefit Unit</t>
  </si>
  <si>
    <t xml:space="preserve">TOTINCW1</t>
  </si>
  <si>
    <t xml:space="preserve">Total Income (II series) for the First Woman in the Benefit Unit</t>
  </si>
  <si>
    <t xml:space="preserve">TOTINCW2</t>
  </si>
  <si>
    <t xml:space="preserve">Total Income (II series) for the Second Woman in the Benefit Unit</t>
  </si>
  <si>
    <t xml:space="preserve">TOTSTHH</t>
  </si>
  <si>
    <t xml:space="preserve">FES - Total structural insurance</t>
  </si>
  <si>
    <t xml:space="preserve">TOTSTRHH</t>
  </si>
  <si>
    <t xml:space="preserve">FRS - Total structural insurance</t>
  </si>
  <si>
    <t xml:space="preserve">TVLICBU</t>
  </si>
  <si>
    <t xml:space="preserve">Amount of concessionary TV licence allocated to the benunit</t>
  </si>
  <si>
    <t xml:space="preserve">2000/01+</t>
  </si>
  <si>
    <t xml:space="preserve">TVLICHH</t>
  </si>
  <si>
    <t xml:space="preserve">Amount of concessionary TV licence allocated to the household</t>
  </si>
  <si>
    <t xml:space="preserve">TYPE</t>
  </si>
  <si>
    <t xml:space="preserve">Type of Individual</t>
  </si>
  <si>
    <t xml:space="preserve">UNDER14</t>
  </si>
  <si>
    <t xml:space="preserve">Number of children under 14 years of age in the household (OECD)</t>
  </si>
  <si>
    <t xml:space="preserve">UPERSON</t>
  </si>
  <si>
    <t xml:space="preserve">Adult person number in the benefit unit</t>
  </si>
  <si>
    <t xml:space="preserve">WATSEWHH</t>
  </si>
  <si>
    <t xml:space="preserve">Total amount of water and sewerage charges for the household</t>
  </si>
  <si>
    <t xml:space="preserve">WATSEWRT</t>
  </si>
  <si>
    <t xml:space="preserve">Total Water and Sewerage</t>
  </si>
  <si>
    <t xml:space="preserve">WFTCBU</t>
  </si>
  <si>
    <t xml:space="preserve">Working Families' Tax Credit for the benefit unit</t>
  </si>
  <si>
    <t xml:space="preserve">WINPAYBU</t>
  </si>
  <si>
    <t xml:space="preserve">Total winter fuel payment for benefit unit</t>
  </si>
  <si>
    <t xml:space="preserve">WINPAYHD</t>
  </si>
  <si>
    <t xml:space="preserve">Total winter fuel payment for the head of the benefit unit</t>
  </si>
  <si>
    <t xml:space="preserve">2008/09+</t>
  </si>
  <si>
    <t xml:space="preserve">WINPAYSP</t>
  </si>
  <si>
    <t xml:space="preserve">Total winter fuel payment for the spouse of the benefit unit</t>
  </si>
  <si>
    <t xml:space="preserve">WTCBU</t>
  </si>
  <si>
    <t xml:space="preserve">Amount of Working Tax Credit for the Benefit Unit</t>
  </si>
  <si>
    <t xml:space="preserve">YEAR</t>
  </si>
  <si>
    <t xml:space="preserve">HBAI Year Number</t>
  </si>
  <si>
    <t xml:space="preserve">YEARFIN</t>
  </si>
  <si>
    <t xml:space="preserve">HBAI Financial Year</t>
  </si>
  <si>
    <t xml:space="preserve">YOUNGCH</t>
  </si>
  <si>
    <t xml:space="preserve">Age of youngest child in family</t>
  </si>
  <si>
    <t xml:space="preserve">HBAI Main and Backseries Variable List</t>
  </si>
  <si>
    <t xml:space="preserve">The following table summarises the HBAI variables in the new, harmonised HBAI datasets.</t>
  </si>
  <si>
    <t xml:space="preserve">Some variables will only be available in the individual-level dataset (or on the UKDA </t>
  </si>
  <si>
    <t xml:space="preserve">Safe Room version).</t>
  </si>
  <si>
    <t xml:space="preserve">Further information on how HBAI income variables are derived or defined can be </t>
  </si>
  <si>
    <t xml:space="preserve">found in the 'Summary of Income Adjustments' tab.</t>
  </si>
  <si>
    <t xml:space="preserve">Key: </t>
  </si>
  <si>
    <t xml:space="preserve">(BHC)</t>
  </si>
  <si>
    <t xml:space="preserve">Before Housing Costs</t>
  </si>
  <si>
    <t xml:space="preserve"> (AHC ) </t>
  </si>
  <si>
    <t xml:space="preserve">After Housing Costs</t>
  </si>
  <si>
    <t xml:space="preserve">New variables are highlighted in purple.</t>
  </si>
  <si>
    <t xml:space="preserve">.A</t>
  </si>
  <si>
    <t xml:space="preserve">Where information is not available or applicable (see columns H to K for availability)</t>
  </si>
  <si>
    <t xml:space="preserve"> </t>
  </si>
  <si>
    <t xml:space="preserve">Income</t>
  </si>
  <si>
    <t xml:space="preserve">Adjustments</t>
  </si>
  <si>
    <t xml:space="preserve">Family (Benefit Unit)                </t>
  </si>
  <si>
    <t xml:space="preserve">Level Datasets</t>
  </si>
  <si>
    <t xml:space="preserve">Individual </t>
  </si>
  <si>
    <t xml:space="preserve">Variable name</t>
  </si>
  <si>
    <t xml:space="preserve">Variable Type</t>
  </si>
  <si>
    <t xml:space="preserve">Description</t>
  </si>
  <si>
    <t xml:space="preserve">SPI Adjustment</t>
  </si>
  <si>
    <t xml:space="preserve">Equivalised</t>
  </si>
  <si>
    <t xml:space="preserve">Deflated for latest survey year prices</t>
  </si>
  <si>
    <t xml:space="preserve">Deflated for average of survey year prices</t>
  </si>
  <si>
    <r>
      <rPr>
        <b val="true"/>
        <sz val="12"/>
        <color rgb="FF000000"/>
        <rFont val="Arial"/>
        <family val="2"/>
        <charset val="1"/>
      </rPr>
      <t xml:space="preserve">DWP Users: </t>
    </r>
    <r>
      <rPr>
        <sz val="12"/>
        <color rgb="FF000000"/>
        <rFont val="Arial"/>
        <family val="2"/>
        <charset val="1"/>
      </rPr>
      <t xml:space="preserve">                     hbai1819_g4  all_g4      </t>
    </r>
    <r>
      <rPr>
        <b val="true"/>
        <sz val="12"/>
        <color rgb="FF000000"/>
        <rFont val="Arial"/>
        <family val="2"/>
        <charset val="1"/>
      </rPr>
      <t xml:space="preserve">                                                       UKDA Safe Room Users:              </t>
    </r>
    <r>
      <rPr>
        <sz val="12"/>
        <color rgb="FF000000"/>
        <rFont val="Arial"/>
        <family val="2"/>
        <charset val="1"/>
      </rPr>
      <t xml:space="preserve">h189s h189s_all</t>
    </r>
  </si>
  <si>
    <r>
      <rPr>
        <b val="true"/>
        <sz val="12"/>
        <color rgb="FF000000"/>
        <rFont val="Arial"/>
        <family val="2"/>
        <charset val="1"/>
      </rPr>
      <t xml:space="preserve">UKDA End User Licence (Anonymised) Users: </t>
    </r>
    <r>
      <rPr>
        <sz val="12"/>
        <color rgb="FF000000"/>
        <rFont val="Arial"/>
        <family val="2"/>
        <charset val="1"/>
      </rPr>
      <t xml:space="preserve">h1819 h1819_all  </t>
    </r>
    <r>
      <rPr>
        <b val="true"/>
        <sz val="12"/>
        <color rgb="FF000000"/>
        <rFont val="Arial"/>
        <family val="2"/>
        <charset val="1"/>
      </rPr>
      <t xml:space="preserve">Differences vs. Safe Room version</t>
    </r>
  </si>
  <si>
    <r>
      <rPr>
        <b val="true"/>
        <sz val="12"/>
        <color rgb="FF4472C4"/>
        <rFont val="Arial"/>
        <family val="2"/>
        <charset val="1"/>
      </rPr>
      <t xml:space="preserve">DWP Users:</t>
    </r>
    <r>
      <rPr>
        <sz val="12"/>
        <color rgb="FF4472C4"/>
        <rFont val="Arial"/>
        <family val="2"/>
        <charset val="1"/>
      </rPr>
      <t xml:space="preserve">                     ind1819_g4 allind_g4          </t>
    </r>
    <r>
      <rPr>
        <b val="true"/>
        <sz val="12"/>
        <color rgb="FF4472C4"/>
        <rFont val="Arial"/>
        <family val="2"/>
        <charset val="1"/>
      </rPr>
      <t xml:space="preserve">UKDA Safe Room Users:</t>
    </r>
    <r>
      <rPr>
        <sz val="12"/>
        <color rgb="FF4472C4"/>
        <rFont val="Arial"/>
        <family val="2"/>
        <charset val="1"/>
      </rPr>
      <t xml:space="preserve"> i189s i189s_all</t>
    </r>
  </si>
  <si>
    <r>
      <rPr>
        <b val="true"/>
        <sz val="12"/>
        <color rgb="FF4472C4"/>
        <rFont val="Arial"/>
        <family val="2"/>
        <charset val="1"/>
      </rPr>
      <t xml:space="preserve">UKDA End User Licence (Anonymised) Users: i</t>
    </r>
    <r>
      <rPr>
        <sz val="12"/>
        <color rgb="FF4472C4"/>
        <rFont val="Arial"/>
        <family val="2"/>
        <charset val="1"/>
      </rPr>
      <t xml:space="preserve">1819 i1819_all </t>
    </r>
    <r>
      <rPr>
        <b val="true"/>
        <sz val="12"/>
        <color rgb="FF4472C4"/>
        <rFont val="Arial"/>
        <family val="2"/>
        <charset val="1"/>
      </rPr>
      <t xml:space="preserve"> Differences vs. Safe Room version</t>
    </r>
  </si>
  <si>
    <t xml:space="preserve">Category Values</t>
  </si>
  <si>
    <t xml:space="preserve">£ amount</t>
  </si>
  <si>
    <t xml:space="preserve">2010/11 absolute median income (AHC) in latest survey year prices</t>
  </si>
  <si>
    <t xml:space="preserve">Yes</t>
  </si>
  <si>
    <t xml:space="preserve">AHC</t>
  </si>
  <si>
    <t xml:space="preserve">2010/11 absolute median income (BHC) in latest survey year prices</t>
  </si>
  <si>
    <t xml:space="preserve">BHC</t>
  </si>
  <si>
    <t xml:space="preserve">Category</t>
  </si>
  <si>
    <t xml:space="preserve">Number of adults in the family (benefit unit)</t>
  </si>
  <si>
    <t xml:space="preserve">1 = One adult</t>
  </si>
  <si>
    <t xml:space="preserve">2 = Two adults</t>
  </si>
  <si>
    <t xml:space="preserve">Number of adults in the household</t>
  </si>
  <si>
    <t xml:space="preserve">3 = Three adults</t>
  </si>
  <si>
    <t xml:space="preserve">4 = Four adults</t>
  </si>
  <si>
    <t xml:space="preserve">…and so on.</t>
  </si>
  <si>
    <t xml:space="preserve">Years old</t>
  </si>
  <si>
    <t xml:space="preserve">Not available</t>
  </si>
  <si>
    <t xml:space="preserve">if age&gt;80 then reset age=80</t>
  </si>
  <si>
    <t xml:space="preserve">1 = 0-15</t>
  </si>
  <si>
    <t xml:space="preserve">2 = 16-19 child</t>
  </si>
  <si>
    <t xml:space="preserve">3 = 16-24 adult</t>
  </si>
  <si>
    <t xml:space="preserve">4 = 25-29</t>
  </si>
  <si>
    <t xml:space="preserve">5 = 30-34</t>
  </si>
  <si>
    <t xml:space="preserve">6 = 35-39</t>
  </si>
  <si>
    <t xml:space="preserve">7 = 40-44</t>
  </si>
  <si>
    <t xml:space="preserve">8 = 45-49</t>
  </si>
  <si>
    <t xml:space="preserve">9 = 50-54</t>
  </si>
  <si>
    <t xml:space="preserve">10 = 55-59</t>
  </si>
  <si>
    <t xml:space="preserve">11 = 60-64</t>
  </si>
  <si>
    <t xml:space="preserve">12 = 65-69</t>
  </si>
  <si>
    <t xml:space="preserve">13 = 70-74</t>
  </si>
  <si>
    <t xml:space="preserve">14 = 75-79</t>
  </si>
  <si>
    <t xml:space="preserve">15 = 80-84</t>
  </si>
  <si>
    <t xml:space="preserve">16 = 85+</t>
  </si>
  <si>
    <t xml:space="preserve">if agehd&gt;80 then agehd reset to 80</t>
  </si>
  <si>
    <t xml:space="preserve">Value</t>
  </si>
  <si>
    <t xml:space="preserve">CPI-based AHC deflator for the average of the survey year</t>
  </si>
  <si>
    <t xml:space="preserve">Asian Ethnicity Group</t>
  </si>
  <si>
    <t xml:space="preserve">1 = Indian</t>
  </si>
  <si>
    <t xml:space="preserve">2 = Pakistani</t>
  </si>
  <si>
    <t xml:space="preserve">3 = Bangladeshi</t>
  </si>
  <si>
    <t xml:space="preserve">4 = Chinese</t>
  </si>
  <si>
    <t xml:space="preserve">5 = Any other Asian background</t>
  </si>
  <si>
    <t xml:space="preserve">Position of the family (benefit unit) in the household</t>
  </si>
  <si>
    <t xml:space="preserve">1 = First family (benefit unit)</t>
  </si>
  <si>
    <t xml:space="preserve">2 = Second family (benefit unit)</t>
  </si>
  <si>
    <t xml:space="preserve">3 = Third family (benefit unit)</t>
  </si>
  <si>
    <t xml:space="preserve">4 = Fourth family (benefit unit)</t>
  </si>
  <si>
    <t xml:space="preserve">Number of families (benefit units) within the household</t>
  </si>
  <si>
    <t xml:space="preserve">1 = One family (benefit unit)</t>
  </si>
  <si>
    <t xml:space="preserve">2 = Two families (benefit units)</t>
  </si>
  <si>
    <t xml:space="preserve">3 = Three families (benefit units)</t>
  </si>
  <si>
    <t xml:space="preserve">4 = Four families (benefit units)</t>
  </si>
  <si>
    <t xml:space="preserve">CPI-based BHC deflator for the average of the survey year</t>
  </si>
  <si>
    <t xml:space="preserve">Number of boys in the family (benefit unit)</t>
  </si>
  <si>
    <t xml:space="preserve">0 = No boys</t>
  </si>
  <si>
    <t xml:space="preserve">1 = One boy</t>
  </si>
  <si>
    <t xml:space="preserve">2 = Two boys</t>
  </si>
  <si>
    <t xml:space="preserve">3 = Three boys</t>
  </si>
  <si>
    <t xml:space="preserve">4 = Four boys</t>
  </si>
  <si>
    <t xml:space="preserve">Savings and investments of adults in the family (benefit unit) based on survey year amount.</t>
  </si>
  <si>
    <t xml:space="preserve">1= No savings</t>
  </si>
  <si>
    <t xml:space="preserve">2 = Less than £1,500</t>
  </si>
  <si>
    <t xml:space="preserve">3 = £1,500 but less than £3,000</t>
  </si>
  <si>
    <t xml:space="preserve">4 = £3,000 but less than £8,000</t>
  </si>
  <si>
    <t xml:space="preserve">5 = £8,000 but less than £10,000</t>
  </si>
  <si>
    <t xml:space="preserve">6 = £10,000 but less than £16,000</t>
  </si>
  <si>
    <t xml:space="preserve">7 = £16,000 but less than £20,000</t>
  </si>
  <si>
    <t xml:space="preserve">8 = £20,000 or more</t>
  </si>
  <si>
    <t xml:space="preserve">£ Amount</t>
  </si>
  <si>
    <t xml:space="preserve">No</t>
  </si>
  <si>
    <t xml:space="preserve">Amount of disability benefits paid to a child/ren for the family (benefit unit)</t>
  </si>
  <si>
    <t xml:space="preserve">.A = not available (pre 2000/01)</t>
  </si>
  <si>
    <t xml:space="preserve">Amount of disability benefits paid to a child/ren for the household</t>
  </si>
  <si>
    <t xml:space="preserve">1 = Cohabiting</t>
  </si>
  <si>
    <t xml:space="preserve">2 = Married/Civil Partnership</t>
  </si>
  <si>
    <t xml:space="preserve">.A = Not available (pre 2009/10) or not applicable (single 2009/10+)</t>
  </si>
  <si>
    <t xml:space="preserve">Amount of Child Tax Credit for the family (benefit unit)</t>
  </si>
  <si>
    <t xml:space="preserve">.A = not available (pre 2003/04)</t>
  </si>
  <si>
    <t xml:space="preserve">Amount household water charges reduced by through Scottish water charge discount scheme (Scotland only)</t>
  </si>
  <si>
    <t xml:space="preserve">.A = not available (pre 2007/08)</t>
  </si>
  <si>
    <t xml:space="preserve">Total amount of water and sewerage charges for the household (Scotland only)</t>
  </si>
  <si>
    <t xml:space="preserve">.A = not available (pre 1999/00)</t>
  </si>
  <si>
    <t xml:space="preserve">Number of dependant children in the family (benefit unit)</t>
  </si>
  <si>
    <t xml:space="preserve">0 = No children</t>
  </si>
  <si>
    <t xml:space="preserve">1 = One child</t>
  </si>
  <si>
    <t xml:space="preserve">2 = Two children</t>
  </si>
  <si>
    <t xml:space="preserve">3 = Three or more children</t>
  </si>
  <si>
    <t xml:space="preserve">4 = Four children</t>
  </si>
  <si>
    <t xml:space="preserve">3 = Three children</t>
  </si>
  <si>
    <t xml:space="preserve">Number of disabled adults in the family (benefit unit) - disability definition varies over time (see documentation)</t>
  </si>
  <si>
    <t xml:space="preserve">0 = In families with no disabled adults</t>
  </si>
  <si>
    <t xml:space="preserve">1 = In families with one disabled adult</t>
  </si>
  <si>
    <t xml:space="preserve">2 = In families with two disabled adults</t>
  </si>
  <si>
    <t xml:space="preserve">Disabled children in the family - disability definition varies over time (see documentation)</t>
  </si>
  <si>
    <t xml:space="preserve">1995/96+</t>
  </si>
  <si>
    <t xml:space="preserve">0 = In families with no disabled children</t>
  </si>
  <si>
    <t xml:space="preserve">1 = In families with disabled child/ren</t>
  </si>
  <si>
    <t xml:space="preserve">.A = Not available (pre 1995/96)</t>
  </si>
  <si>
    <t xml:space="preserve">Disability in and Disability Benefits received by family (benefit unit) - disability definition varies over time (see documentation)</t>
  </si>
  <si>
    <t xml:space="preserve">1 = No disability, some disability benefits</t>
  </si>
  <si>
    <t xml:space="preserve">2 = No disability, no disability benefits</t>
  </si>
  <si>
    <t xml:space="preserve">3 = Disabled person, some disability benefits</t>
  </si>
  <si>
    <t xml:space="preserve">4 = Disabled person, no disability benefits</t>
  </si>
  <si>
    <t xml:space="preserve">Disability within the family (benefit unit) - disability definition varies over time (see documentation)</t>
  </si>
  <si>
    <t xml:space="preserve">1 = In families where no-one is disabled</t>
  </si>
  <si>
    <t xml:space="preserve">2 = In families where someone is disabled</t>
  </si>
  <si>
    <t xml:space="preserve">Disability and Work Status within the family (benefit unit) - disability definition varies over time (see documentation)</t>
  </si>
  <si>
    <t xml:space="preserve">1 = In families where no one is disabled and at least one adult working</t>
  </si>
  <si>
    <t xml:space="preserve">2 = In families where no one is disabled and no adults working</t>
  </si>
  <si>
    <t xml:space="preserve">3 = In families where someone is disabled and at least one adult working</t>
  </si>
  <si>
    <t xml:space="preserve">4 = In families where someone is disabled and no adults working</t>
  </si>
  <si>
    <t xml:space="preserve">.A = Not available (pre 1996/97)</t>
  </si>
  <si>
    <t xml:space="preserve">Disability mix within the family (benefit unit) - disability definition varies over time (see documentation)</t>
  </si>
  <si>
    <t xml:space="preserve">2 = In families with disabled adult/s only..</t>
  </si>
  <si>
    <t xml:space="preserve">3 = In families with disabled child/ren only.</t>
  </si>
  <si>
    <t xml:space="preserve">4 = In families with disabled adult/s and child/ren.</t>
  </si>
  <si>
    <t xml:space="preserve">Pensioners - Disability mix within the family (benefit unit) - disability definition varies over time (see documentation)</t>
  </si>
  <si>
    <t xml:space="preserve">1 = In families with no disabled adult</t>
  </si>
  <si>
    <t xml:space="preserve">2 = In families with at least one disabled adult</t>
  </si>
  <si>
    <t xml:space="preserve">Disabled Person's Tax Credit for the family (benefit unit) (not including lump sums)</t>
  </si>
  <si>
    <t xml:space="preserve">.A = Not available (pre 2000/01 and 2004/05+)</t>
  </si>
  <si>
    <t xml:space="preserve">Non-Spi'd after housing costs income for the household</t>
  </si>
  <si>
    <t xml:space="preserve">Total benefit income for the family (benefit unit)</t>
  </si>
  <si>
    <t xml:space="preserve">Total benefit income for the household</t>
  </si>
  <si>
    <t xml:space="preserve">Economic status of adults in the family (benefit unit) </t>
  </si>
  <si>
    <t xml:space="preserve">1 = One or more full-time self-employed</t>
  </si>
  <si>
    <t xml:space="preserve">2 = Single/couple all in full-time work</t>
  </si>
  <si>
    <t xml:space="preserve">3 = Couple, one full-time work, one part-time work</t>
  </si>
  <si>
    <t xml:space="preserve">4 = Couple, one full-time work, one not working</t>
  </si>
  <si>
    <t xml:space="preserve">5 = No one in full-time work, one or more in part-time work</t>
  </si>
  <si>
    <t xml:space="preserve">6 = Workless, one or more aged 60 or over</t>
  </si>
  <si>
    <t xml:space="preserve">7 = Workless, one or more unemployed</t>
  </si>
  <si>
    <t xml:space="preserve">8 = Workless, other inactive</t>
  </si>
  <si>
    <t xml:space="preserve">Gross earnings for the family (benefit unit)</t>
  </si>
  <si>
    <t xml:space="preserve">Gross earnings for the household</t>
  </si>
  <si>
    <t xml:space="preserve">Gross income for the family (benefit unit)</t>
  </si>
  <si>
    <t xml:space="preserve">Gross income for the household</t>
  </si>
  <si>
    <t xml:space="preserve">Housing benefit for family (benefit unit)</t>
  </si>
  <si>
    <t xml:space="preserve">Total housing costs.</t>
  </si>
  <si>
    <t xml:space="preserve">Non-SPI'd Total miscellaneous income for the family (benefit unit)</t>
  </si>
  <si>
    <t xml:space="preserve">Non-SPI'd Total miscellaneous income for the household</t>
  </si>
  <si>
    <t xml:space="preserve">Non-SPI'd Net earnings for the family (benefit unit)</t>
  </si>
  <si>
    <t xml:space="preserve">Non-SPI'd Net earnings for the household</t>
  </si>
  <si>
    <t xml:space="preserve">Non-SPI'd Net income for the family (benefit unit)</t>
  </si>
  <si>
    <t xml:space="preserve">Non-SPI'd Net income for the household</t>
  </si>
  <si>
    <t xml:space="preserve">Non-SPI'd Other deductions for the family (benefit unit)</t>
  </si>
  <si>
    <t xml:space="preserve">Non-SPI'd Other deductions for the household </t>
  </si>
  <si>
    <t xml:space="preserve">Non-SPI'd Private benefit income for the family (benefit unit)</t>
  </si>
  <si>
    <t xml:space="preserve">Non-SPI'd Private benefit income for the household</t>
  </si>
  <si>
    <t xml:space="preserve">Rent component of housing costs for the family (benefit unit)</t>
  </si>
  <si>
    <t xml:space="preserve">Rent component of housing costs for the household</t>
  </si>
  <si>
    <t xml:space="preserve">Number of SPI'd non-pensioners in the family (benefit unit) </t>
  </si>
  <si>
    <t xml:space="preserve">0 = No SPI'd non-pensioners</t>
  </si>
  <si>
    <t xml:space="preserve">1 = One SPI'd non-pensioner</t>
  </si>
  <si>
    <t xml:space="preserve">2 = Two SPI'd non-pensioners</t>
  </si>
  <si>
    <t xml:space="preserve">.A = not available (pre 1997/98)</t>
  </si>
  <si>
    <t xml:space="preserve">Number of SPI'd non-pensioners in the household</t>
  </si>
  <si>
    <t xml:space="preserve">3 = Three SPI'd pensioners</t>
  </si>
  <si>
    <t xml:space="preserve">4 = Four SPI'd pensioners</t>
  </si>
  <si>
    <t xml:space="preserve">...and so on.</t>
  </si>
  <si>
    <t xml:space="preserve">Number of SPI'd pensioners in the family (benefit unit)</t>
  </si>
  <si>
    <t xml:space="preserve">0 = No SPI'd pensioners</t>
  </si>
  <si>
    <t xml:space="preserve">1 = One SPI'd pensioner</t>
  </si>
  <si>
    <t xml:space="preserve">2 = Two SPI'd pensioners</t>
  </si>
  <si>
    <t xml:space="preserve">Number of SPI'd pensioners in the household</t>
  </si>
  <si>
    <t xml:space="preserve">SPI'd after housing costs income</t>
  </si>
  <si>
    <t xml:space="preserve">SPI'd total benefit income for the family (benefit unit)</t>
  </si>
  <si>
    <t xml:space="preserve">SPI'd total benefit income for the head of the family (benefit unit)</t>
  </si>
  <si>
    <t xml:space="preserve">1997/98+ (excluding 2004/05)</t>
  </si>
  <si>
    <t xml:space="preserve">.A = not available (pre 1997/98 or 2004/05)</t>
  </si>
  <si>
    <t xml:space="preserve">SPI'd total benefit income for the household</t>
  </si>
  <si>
    <t xml:space="preserve">SPI'd total benefit income for the spouse of the family (benefit unit)</t>
  </si>
  <si>
    <t xml:space="preserve">SPI'd gross income for the family (benefit unit).</t>
  </si>
  <si>
    <t xml:space="preserve">SPI'd  gross income for the household</t>
  </si>
  <si>
    <t xml:space="preserve">SPI'd gross investment income for the family (benefit unit)</t>
  </si>
  <si>
    <t xml:space="preserve">SPI'd gross investment income for the head of the family (benefit unit)</t>
  </si>
  <si>
    <t xml:space="preserve">SPI'd gross investment income for the household</t>
  </si>
  <si>
    <t xml:space="preserve">SPI'd gross investment income for the spouse of the family (benefit unit)</t>
  </si>
  <si>
    <t xml:space="preserve">SPI'd gross employment income for the family (benefit unit)</t>
  </si>
  <si>
    <t xml:space="preserve">SPI'd gross employment income for the head of the family (benefit unit)</t>
  </si>
  <si>
    <t xml:space="preserve">SPI'd gross employment income for the household</t>
  </si>
  <si>
    <t xml:space="preserve">SPI'd gross employment income for the spouse of the family (benefit unit)</t>
  </si>
  <si>
    <t xml:space="preserve">SPI'd gross occupational pension income for the family (benefit unit)</t>
  </si>
  <si>
    <t xml:space="preserve">SPI'd gross occupational pension income for the head of the family (benefit unit)</t>
  </si>
  <si>
    <t xml:space="preserve">SPI'd gross occupational pension income for the household</t>
  </si>
  <si>
    <t xml:space="preserve">SPI'd gross occupational pension income for the spouse of the family (benefit unit)</t>
  </si>
  <si>
    <t xml:space="preserve">SPI'd gross self-employment income for the family (benefit unit)</t>
  </si>
  <si>
    <t xml:space="preserve">SPI'd gross self-employment income for the head of the family (benefit unit)</t>
  </si>
  <si>
    <t xml:space="preserve">SPI'd gross self-employment income for the household</t>
  </si>
  <si>
    <t xml:space="preserve">SPI'd gross self-employment income for the spouse of the family (benefit unit)</t>
  </si>
  <si>
    <t xml:space="preserve">SPI'd total miscellaneous income for the family (benefit unit)</t>
  </si>
  <si>
    <t xml:space="preserve">SPI'd total miscellaneous income for the head of the family (benefit unit)</t>
  </si>
  <si>
    <t xml:space="preserve">SPI'd miscellaneous income for the household</t>
  </si>
  <si>
    <t xml:space="preserve">SPI'd total miscellaneous income for the spouse of the family (benefit unit)</t>
  </si>
  <si>
    <t xml:space="preserve">SPI'd net income for the family (benefit unit)</t>
  </si>
  <si>
    <t xml:space="preserve">SPI'd household net income</t>
  </si>
  <si>
    <t xml:space="preserve">SPI'd other deductions for the family (benefit unit) </t>
  </si>
  <si>
    <t xml:space="preserve">SPI'd other deductions for the household </t>
  </si>
  <si>
    <t xml:space="preserve">SPI'd private benefit income for the family (benefit unit)</t>
  </si>
  <si>
    <t xml:space="preserve">SPI'd private benefit income for the head of the family (benefit unit)</t>
  </si>
  <si>
    <t xml:space="preserve">SPI'd private benefit income for the household</t>
  </si>
  <si>
    <t xml:space="preserve">SPI'd private benefit income for the spouse of the family (benefit unit)</t>
  </si>
  <si>
    <t xml:space="preserve">SPI'd total housing costs</t>
  </si>
  <si>
    <t xml:space="preserve">ETH</t>
  </si>
  <si>
    <t xml:space="preserve">1 = White</t>
  </si>
  <si>
    <t xml:space="preserve">2 = Mixed/ Multiple Ethnic Groups</t>
  </si>
  <si>
    <t xml:space="preserve">3 = Asian/ Asian British</t>
  </si>
  <si>
    <t xml:space="preserve">4 = Black/ African/ Caribbean/ Black British</t>
  </si>
  <si>
    <t xml:space="preserve">5 = Other Ethnic Group</t>
  </si>
  <si>
    <t xml:space="preserve">Ethnic group of household                                                (different categories prior to 2012/13 - please read comment)</t>
  </si>
  <si>
    <t xml:space="preserve">See 'HBAI Ethnicity Variables Derivation Over Time' for categories.</t>
  </si>
  <si>
    <t xml:space="preserve">Harmonised Ethnic group of household</t>
  </si>
  <si>
    <t xml:space="preserve">3 = Indian</t>
  </si>
  <si>
    <t xml:space="preserve">4 = Pakistani</t>
  </si>
  <si>
    <t xml:space="preserve">5 = Bangladeshi</t>
  </si>
  <si>
    <t xml:space="preserve">6 = Chinese</t>
  </si>
  <si>
    <t xml:space="preserve">7 = Any other Asian background</t>
  </si>
  <si>
    <t xml:space="preserve">8 = Black/ African/ Caribbean/ Black British</t>
  </si>
  <si>
    <t xml:space="preserve">9 = Other Ethnic Group</t>
  </si>
  <si>
    <t xml:space="preserve">Amount of family Credit for the family (benefit unit)</t>
  </si>
  <si>
    <t xml:space="preserve">.A = not available (1999/00+)</t>
  </si>
  <si>
    <t xml:space="preserve">Amount of free school breakfast for family (benefit unit)</t>
  </si>
  <si>
    <t xml:space="preserve">.A = not available (pre 2012/13)</t>
  </si>
  <si>
    <t xml:space="preserve">Amount of free school fruit and veg for family (benefit unit)</t>
  </si>
  <si>
    <t xml:space="preserve">Amount of free school meals for family (benefit unit)</t>
  </si>
  <si>
    <t xml:space="preserve">Amount of free school milk for family (benefit unit)</t>
  </si>
  <si>
    <t xml:space="preserve">Amount of free welfare milk for family (benefit unit)</t>
  </si>
  <si>
    <t xml:space="preserve">.A = not available (pre 1997/98 and 2008/09+)</t>
  </si>
  <si>
    <t xml:space="preserve">Non-SPI'd total gross self-employment income for family (benefit unit)</t>
  </si>
  <si>
    <t xml:space="preserve">.A = not available (pre 1996/97)</t>
  </si>
  <si>
    <t xml:space="preserve">SPI'd grossing factor for an adult - family (benefit unit) level dataset only</t>
  </si>
  <si>
    <t xml:space="preserve">SPI'd grossing factor for the family (benefit unit) - family (benefit unit) level dataset only</t>
  </si>
  <si>
    <t xml:space="preserve">SPI'd grossing factor for dependant children - family (benefit unit) level dataset only</t>
  </si>
  <si>
    <t xml:space="preserve">SPI'd grossing factor for the household - family (benefit unit) level dataset only</t>
  </si>
  <si>
    <t xml:space="preserve">SPI'd grossing factor for pensioners - family (benefit unit) level dataset only</t>
  </si>
  <si>
    <t xml:space="preserve">SPI'd grossing factor for all individuals - family (benefit unit) level dataset only</t>
  </si>
  <si>
    <t xml:space="preserve">SPI'd grossing factor for working-age adults - family (benefit unit) level dataset only</t>
  </si>
  <si>
    <t xml:space="preserve">1 = North East (E12000001)</t>
  </si>
  <si>
    <t xml:space="preserve">2 = North West (E12000002)</t>
  </si>
  <si>
    <t xml:space="preserve">4 = Yorkshire and The Humber (E12000003)</t>
  </si>
  <si>
    <t xml:space="preserve">5 = East Midlands (E12000004)</t>
  </si>
  <si>
    <t xml:space="preserve">6 = West Midlands (E12000005)</t>
  </si>
  <si>
    <t xml:space="preserve">7 = East (E12000006)</t>
  </si>
  <si>
    <t xml:space="preserve">8 = London (E12000007)</t>
  </si>
  <si>
    <t xml:space="preserve">9 = South East (E12000008)</t>
  </si>
  <si>
    <t xml:space="preserve">10 = South West (E12000009)</t>
  </si>
  <si>
    <t xml:space="preserve">11 = Wales (W92000004)</t>
  </si>
  <si>
    <t xml:space="preserve">12 = Scotland (S92000003)</t>
  </si>
  <si>
    <t xml:space="preserve">13 = Northern Ireland (N92000002)</t>
  </si>
  <si>
    <t xml:space="preserve">Non-SPI'd grossing factor for an adult</t>
  </si>
  <si>
    <t xml:space="preserve">Non-SPI'd grossing factor for the family (benefit unit)</t>
  </si>
  <si>
    <t xml:space="preserve">Non-SPI'd grossing factor for dependant children</t>
  </si>
  <si>
    <t xml:space="preserve">Non-SPI'd grossing factor for the household</t>
  </si>
  <si>
    <t xml:space="preserve">Non-SPI'd grossing factor for pensioners</t>
  </si>
  <si>
    <t xml:space="preserve">Non-SPI'd grossing factor for all individuals</t>
  </si>
  <si>
    <t xml:space="preserve">Non-SPI'd grossing factor for working-age adults</t>
  </si>
  <si>
    <t xml:space="preserve">Mortgage interest component of housing costs</t>
  </si>
  <si>
    <t xml:space="preserve">Non-SPI'd gross investment income for the family (benefit unit)</t>
  </si>
  <si>
    <t xml:space="preserve">Non-SPI'd gross investment income for the household</t>
  </si>
  <si>
    <t xml:space="preserve">Non-SPI'd gross occupational pension income for the family (benefit unit)</t>
  </si>
  <si>
    <t xml:space="preserve">Non-SPI'd gross occupational pension income for the household</t>
  </si>
  <si>
    <t xml:space="preserve">1 = All adults in work</t>
  </si>
  <si>
    <t xml:space="preserve">2 = At least one adult in work but not all</t>
  </si>
  <si>
    <t xml:space="preserve">3 = Workless households</t>
  </si>
  <si>
    <t xml:space="preserve">Non-SPI'd net investment income for the family (benefit unit)</t>
  </si>
  <si>
    <t xml:space="preserve">Non-SPI'd net investment income for the household</t>
  </si>
  <si>
    <t xml:space="preserve">Non-SPI'd net occupational pension income for the family (benefit unit)</t>
  </si>
  <si>
    <t xml:space="preserve">Non-SPI'd net occupational pension income for the household</t>
  </si>
  <si>
    <t xml:space="preserve">Total childrens income in the family (benefit unit)</t>
  </si>
  <si>
    <t xml:space="preserve">Non-SPI'd total net self-employment earnings for the family (benefit unit)</t>
  </si>
  <si>
    <t xml:space="preserve">Total income support for the family (benefit unit)</t>
  </si>
  <si>
    <t xml:space="preserve">Number of children aged 0 and 1 in the family (benefit unit)</t>
  </si>
  <si>
    <t xml:space="preserve">Number of children aged 2,3 and 4 in the family (benefit unit)</t>
  </si>
  <si>
    <t xml:space="preserve">Number of children aged 5, 6 and 7 in the family (benefit unit)</t>
  </si>
  <si>
    <t xml:space="preserve">Number of children aged 8, 9 and 10 in the family (benefit unit)</t>
  </si>
  <si>
    <t xml:space="preserve">Number of children aged 11 and 12 in the family (benefit unit)</t>
  </si>
  <si>
    <t xml:space="preserve">Number of children aged 13, 14 and 15 in the family (benefit unit)</t>
  </si>
  <si>
    <t xml:space="preserve">Number of children aged 16 and over in the family (benefit unit)</t>
  </si>
  <si>
    <t xml:space="preserve">Economic status of a child's family and family type.</t>
  </si>
  <si>
    <t xml:space="preserve">1= Lone parent, in full-time work</t>
  </si>
  <si>
    <t xml:space="preserve">2 = Lone parent, in part-time work</t>
  </si>
  <si>
    <t xml:space="preserve">3 = Lone parent, not working</t>
  </si>
  <si>
    <t xml:space="preserve">4 =Couple with children, one or more full-time self-employed</t>
  </si>
  <si>
    <t xml:space="preserve">5 = Couple with children, both in full-time work</t>
  </si>
  <si>
    <t xml:space="preserve">6 = Couple with children, one in full-time work, one in part-time work</t>
  </si>
  <si>
    <t xml:space="preserve">7 = Couple with children, one in full-time work, one not working</t>
  </si>
  <si>
    <t xml:space="preserve">8 = Couple with children, one or more in part-time work</t>
  </si>
  <si>
    <t xml:space="preserve">9 = Couple with children, both not in work</t>
  </si>
  <si>
    <t xml:space="preserve">.A = Not applicable (individual is not a child for individual dataset only) or not available (pre 1996/97)</t>
  </si>
  <si>
    <t xml:space="preserve">Flag</t>
  </si>
  <si>
    <t xml:space="preserve">Low income flag for 50% of relative median median income (AHC) in latest survey year prices (below threshold where S_OE_AHC is less than 0.5*MDOEAHC)</t>
  </si>
  <si>
    <t xml:space="preserve">0 = At or above threshold</t>
  </si>
  <si>
    <t xml:space="preserve">1 = Below threshold</t>
  </si>
  <si>
    <t xml:space="preserve">Low income flag for 50% of relative median median income (BHC) in latest survey year prices (below threshold where S_OE_BHC is less than 0.5*MDOEBHC)</t>
  </si>
  <si>
    <t xml:space="preserve">Low income flag for 60% of relative median median income (AHC) in latest survey year prices (below threshold where S_OE_AHC is less than 0.6*MDOEAHC)</t>
  </si>
  <si>
    <t xml:space="preserve">Low income flag for 60% of relative median median income (BHC) in latest survey year prices (below threshold where S_OE_BHC is less than 0.6*MDOEBHC)</t>
  </si>
  <si>
    <t xml:space="preserve">Low income flag for 70% of relative median median income (AHC) in latest survey year prices (below threshold where S_OE_AHC is less than 0.7*MDOEAHC)</t>
  </si>
  <si>
    <t xml:space="preserve">Low income flag for 70% of relative median median income (BHC) in latest survey year prices (below threshold where S_OE_BHC is less than 0.7*MDOEBHC)</t>
  </si>
  <si>
    <t xml:space="preserve">Low income flag for 50% of 2010/11 absolute median income (AHC) in latest survey year prices (below threshold where S_OE_AHC is less than 0.5*ABS1011AHC)</t>
  </si>
  <si>
    <t xml:space="preserve">Low income flag for 50% of 2010/11 absolute median income (BHC) in latest survey year prices (below threshold where S_OE_BHC is less than 0.5*ABS1011BHC)</t>
  </si>
  <si>
    <t xml:space="preserve">Low income flag for 60% of 2010/11 absolute median income (AHC) in latest survey year prices (below threshold where S_OE_AHC is less than 0.6*ABS1011AHC)</t>
  </si>
  <si>
    <t xml:space="preserve">Low income flag for 60% of 2010/11 absolute median income (BHC) in latest survey year prices (below threshold where S_OE_BHC is less than 0.6*ABS1011BHC)</t>
  </si>
  <si>
    <t xml:space="preserve">Low income flag for 70% of 2010/11 absolute median income (AHC) in latest survey year prices (below threshold where S_OE_AHC is less than 0.7*ABS1011AHC)</t>
  </si>
  <si>
    <t xml:space="preserve">Low income flag for 70% of 2010/11 absolute median income (BHC) in latest survey year prices (below threshold where S_OE_BHC is less than 0.7*ABS1011BHC)</t>
  </si>
  <si>
    <t xml:space="preserve">Child/ren in combined low income and material deprivation flag (at or above threshold where MDSCORECH is greater or equal to 25 and LOW70BHC=1)</t>
  </si>
  <si>
    <t xml:space="preserve">0 = Below threshold</t>
  </si>
  <si>
    <t xml:space="preserve">1 = At or above threshold</t>
  </si>
  <si>
    <t xml:space="preserve">.A = not available (pre 2004/05)</t>
  </si>
  <si>
    <t xml:space="preserve">Child/ren in combined low income and severe material deprivation flag (at or above threshold where MDSCORECH is greater or equal to 25 and LOW50BHC=1)</t>
  </si>
  <si>
    <t xml:space="preserve">Marital status of adults in the family</t>
  </si>
  <si>
    <t xml:space="preserve">1 = Single</t>
  </si>
  <si>
    <t xml:space="preserve">2 = Couple</t>
  </si>
  <si>
    <t xml:space="preserve">Child/ren in material deprivation flag (at or above threshold where MDSCORECH is greater or equal to 25)</t>
  </si>
  <si>
    <t xml:space="preserve">SPI'd, deflated, equivalised median income (AHC) - the median of S_OE_AHC</t>
  </si>
  <si>
    <t xml:space="preserve">SPI'd, deflated, equivalised median income (BHC) - the median of S_OE_BHC</t>
  </si>
  <si>
    <t xml:space="preserve">Pensioner material deprivation flag (at or above threshold where MDSCOREPN is greater or equal to 20)</t>
  </si>
  <si>
    <t xml:space="preserve">Total Child Material Deprivation score - based on the new FRS material deprivation suite of questions</t>
  </si>
  <si>
    <t xml:space="preserve">.A = not available (pre 2010/11)</t>
  </si>
  <si>
    <t xml:space="preserve">Total Child Material Deprivation score - based on the old FRS material deprivation suite of questions</t>
  </si>
  <si>
    <t xml:space="preserve">.A = not available (pre 2004/05 and 2011/12+)</t>
  </si>
  <si>
    <t xml:space="preserve">Total Pensioner Material Deprivation score - based on the FRS material deprivation suite of questions</t>
  </si>
  <si>
    <t xml:space="preserve">.A = not available (pre 2009/10)</t>
  </si>
  <si>
    <t xml:space="preserve">SPI'd, deflated, equivalised mean income (AHC) - the average of S_OE_AHC</t>
  </si>
  <si>
    <t xml:space="preserve">SPI'd, deflated, equivalised mean income (BHC) - the average of S_OE_BHC</t>
  </si>
  <si>
    <t xml:space="preserve">New family type for the family (benefit unit)</t>
  </si>
  <si>
    <t xml:space="preserve">No differences</t>
  </si>
  <si>
    <t xml:space="preserve">1 = Pensioner couple</t>
  </si>
  <si>
    <t xml:space="preserve">2 = Single male pensioner</t>
  </si>
  <si>
    <t xml:space="preserve">3 = Single female pensioner</t>
  </si>
  <si>
    <t xml:space="preserve">4 = Couple with children</t>
  </si>
  <si>
    <t xml:space="preserve">5 = Single with children</t>
  </si>
  <si>
    <t xml:space="preserve">6 = Couple without children</t>
  </si>
  <si>
    <t xml:space="preserve">7 = Single male without children</t>
  </si>
  <si>
    <t xml:space="preserve">8 = Single female without children</t>
  </si>
  <si>
    <t xml:space="preserve">112000001 = North East (E12000001)</t>
  </si>
  <si>
    <t xml:space="preserve">112000002 = North West (E12000002)</t>
  </si>
  <si>
    <t xml:space="preserve">112000003 = Yorkshire and The Humber (E12000003)</t>
  </si>
  <si>
    <t xml:space="preserve">112000004 = East Midlands (E12000004)</t>
  </si>
  <si>
    <t xml:space="preserve">112000005 = West Midlands (E12000005)</t>
  </si>
  <si>
    <t xml:space="preserve">112000006 = East (E12000006)</t>
  </si>
  <si>
    <t xml:space="preserve">112000007 = London (E12000007)</t>
  </si>
  <si>
    <t xml:space="preserve">112000008 = South East (E12000008)</t>
  </si>
  <si>
    <t xml:space="preserve">112000009 = South West (E12000009)</t>
  </si>
  <si>
    <t xml:space="preserve">299999999 = Scotland (S92000003)</t>
  </si>
  <si>
    <t xml:space="preserve">399999999 = Wales (W92000004)</t>
  </si>
  <si>
    <t xml:space="preserve">499999999 = Northern Ireland (N92000002)</t>
  </si>
  <si>
    <t xml:space="preserve">1= One child</t>
  </si>
  <si>
    <t xml:space="preserve">Decile of Income (AHC) - using S_OE_AHC (includes self-employed income)</t>
  </si>
  <si>
    <t xml:space="preserve">1 = Bottom decile</t>
  </si>
  <si>
    <t xml:space="preserve">2 = Second decile</t>
  </si>
  <si>
    <t xml:space="preserve">3 = Third decile</t>
  </si>
  <si>
    <t xml:space="preserve">4 = Fourth decile </t>
  </si>
  <si>
    <t xml:space="preserve">5 = Fifth decile</t>
  </si>
  <si>
    <t xml:space="preserve">6 = Sixth decile</t>
  </si>
  <si>
    <t xml:space="preserve">7 = Seventh decile</t>
  </si>
  <si>
    <t xml:space="preserve">8 = Eighth decile</t>
  </si>
  <si>
    <t xml:space="preserve">9 = Ninth decile</t>
  </si>
  <si>
    <t xml:space="preserve">10 = Top decile</t>
  </si>
  <si>
    <t xml:space="preserve">Decile of Income (BHC) - using S_OE_BHC (includes self-employed income)</t>
  </si>
  <si>
    <t xml:space="preserve">Non-SPI'd, deflated, equivalised net income (AHC)  - includes self-employment income</t>
  </si>
  <si>
    <t xml:space="preserve">Non-SPI'd, deflated, equivalised net income (BHC)  - includes self-employment income</t>
  </si>
  <si>
    <t xml:space="preserve">Non-SPI'd, deflated, equivalised gross income  - includes self-employment income</t>
  </si>
  <si>
    <t xml:space="preserve">Quintile of income (AHC) - using S_OE_AHC (includes self-employed income)</t>
  </si>
  <si>
    <t xml:space="preserve">1 = Bottom quintile</t>
  </si>
  <si>
    <t xml:space="preserve">2 = Second quintile</t>
  </si>
  <si>
    <t xml:space="preserve">3 = Third quintile</t>
  </si>
  <si>
    <t xml:space="preserve">4 = Fourth quintile </t>
  </si>
  <si>
    <t xml:space="preserve">5 = Top quinitle</t>
  </si>
  <si>
    <t xml:space="preserve">Quintile of income (BHC) - using S_OE_BHC (includes self-employed income)</t>
  </si>
  <si>
    <t xml:space="preserve">Number of children over 14 years of age in the household </t>
  </si>
  <si>
    <t xml:space="preserve">PENFLAG</t>
  </si>
  <si>
    <t xml:space="preserve">State Pension Age flag for individual</t>
  </si>
  <si>
    <t xml:space="preserve">1 = Pensioner</t>
  </si>
  <si>
    <t xml:space="preserve">2 = Not a pensioner</t>
  </si>
  <si>
    <t xml:space="preserve">.A = not applicable (individual is a child)</t>
  </si>
  <si>
    <t xml:space="preserve">State Pension Age flag for head of the family (benefit unit)</t>
  </si>
  <si>
    <t xml:space="preserve">0 = Not a pensioner</t>
  </si>
  <si>
    <t xml:space="preserve">State Pension Age flag for spouse of the family (benefit unit)</t>
  </si>
  <si>
    <t xml:space="preserve">1 = Person 1</t>
  </si>
  <si>
    <t xml:space="preserve">2 = Person 2</t>
  </si>
  <si>
    <t xml:space="preserve">3 = Person 3</t>
  </si>
  <si>
    <t xml:space="preserve">4 = Person 4</t>
  </si>
  <si>
    <t xml:space="preserve">Person Number of the head of the family (benefit unit) within the household</t>
  </si>
  <si>
    <t xml:space="preserve">.A = not available (pre 2005/06)</t>
  </si>
  <si>
    <t xml:space="preserve">Person Number of the spouse of the family (benefit unit) within the household</t>
  </si>
  <si>
    <t xml:space="preserve">4 = Person 3</t>
  </si>
  <si>
    <t xml:space="preserve">5 = Person 4</t>
  </si>
  <si>
    <t xml:space="preserve">Tenure type</t>
  </si>
  <si>
    <t xml:space="preserve">1 = Rented from Council</t>
  </si>
  <si>
    <t xml:space="preserve">2 = Rented from Housing Association</t>
  </si>
  <si>
    <t xml:space="preserve">3 = Rented privately unfurnished</t>
  </si>
  <si>
    <t xml:space="preserve">4 = Rented privately furnished</t>
  </si>
  <si>
    <t xml:space="preserve">5 = Owned outright</t>
  </si>
  <si>
    <t xml:space="preserve">6 = Owned with mortgage</t>
  </si>
  <si>
    <t xml:space="preserve">SPI'd, deflated, equivalised, net income (AHC) - includes self-employment income</t>
  </si>
  <si>
    <t xml:space="preserve">SPI'd, deflated, equivalised, net income (BHC) - includes self-employment income</t>
  </si>
  <si>
    <t xml:space="preserve">SPI'd, deflated, equivalised, gross income - includes self-employment income</t>
  </si>
  <si>
    <t xml:space="preserve">Number of full time, self-employed individuals in the household</t>
  </si>
  <si>
    <t xml:space="preserve">0 = No self-employed individuals</t>
  </si>
  <si>
    <t xml:space="preserve">1 = One self-employed individual</t>
  </si>
  <si>
    <t xml:space="preserve">2 = Two self-employed individuals</t>
  </si>
  <si>
    <t xml:space="preserve">3 = Three self-employed individuals</t>
  </si>
  <si>
    <t xml:space="preserve">4 = Four self-employed individuals</t>
  </si>
  <si>
    <t xml:space="preserve">Replaced with new_sernum value</t>
  </si>
  <si>
    <t xml:space="preserve">Sewerage charges for households (Scotland only)</t>
  </si>
  <si>
    <t xml:space="preserve">1 = Male</t>
  </si>
  <si>
    <t xml:space="preserve">2 = Female</t>
  </si>
  <si>
    <t xml:space="preserve">Sex of the head of the family (benefit unit)</t>
  </si>
  <si>
    <t xml:space="preserve">Sex of the spouse of the family (benefit unit)</t>
  </si>
  <si>
    <t xml:space="preserve">Amount of social fund repayments from the family (benefit unit)</t>
  </si>
  <si>
    <t xml:space="preserve">Average of housing costs for rich, non-pensioner households</t>
  </si>
  <si>
    <t xml:space="preserve">Average of housing costs for rich, pensioner households</t>
  </si>
  <si>
    <t xml:space="preserve">Accumulation of rent paid by adults in shared households</t>
  </si>
  <si>
    <t xml:space="preserve">Tenure of household (HBAI recommended tenure variable)</t>
  </si>
  <si>
    <t xml:space="preserve">1 = Owned outright</t>
  </si>
  <si>
    <t xml:space="preserve">2 = Buying with a mortgage</t>
  </si>
  <si>
    <t xml:space="preserve">3 = Social rented sector tenants</t>
  </si>
  <si>
    <t xml:space="preserve">4 = All rented privately</t>
  </si>
  <si>
    <t xml:space="preserve">Total structural insurance</t>
  </si>
  <si>
    <t xml:space="preserve">Amount of concessionary TV licence allocated to the family (benefit unit)</t>
  </si>
  <si>
    <t xml:space="preserve">Type of individual</t>
  </si>
  <si>
    <t xml:space="preserve">1 = Child</t>
  </si>
  <si>
    <t xml:space="preserve">2 = Working-Age</t>
  </si>
  <si>
    <t xml:space="preserve">3 = Pensioner</t>
  </si>
  <si>
    <t xml:space="preserve">Number of children under 14 years of age in the household </t>
  </si>
  <si>
    <t xml:space="preserve">Total amount of water and sewerage charges for the household (England and Wales)</t>
  </si>
  <si>
    <t xml:space="preserve">Total Water and Sewerage (England and Wales)</t>
  </si>
  <si>
    <t xml:space="preserve">Working Families' Tax Credit for the family (benefit unit)</t>
  </si>
  <si>
    <t xml:space="preserve">.A = not available (pre 2000/01 and 2004/05+)</t>
  </si>
  <si>
    <t xml:space="preserve">Total winter fuel payment for the family (benefit unit)</t>
  </si>
  <si>
    <t xml:space="preserve">.A = not available (pre 2008/09)</t>
  </si>
  <si>
    <t xml:space="preserve">Total winter fuel payment for the head of the family (benefit unit)</t>
  </si>
  <si>
    <t xml:space="preserve">Total winter fuel payment for the spouse of the family (benefit unit)</t>
  </si>
  <si>
    <t xml:space="preserve">Amount of Working Tax Credit for the family (benefit unit)</t>
  </si>
  <si>
    <t xml:space="preserve">HBAI Year number</t>
  </si>
  <si>
    <t xml:space="preserve">1 = 1994/95</t>
  </si>
  <si>
    <t xml:space="preserve">2 = 1995/96</t>
  </si>
  <si>
    <t xml:space="preserve">3 = 1996/97</t>
  </si>
  <si>
    <t xml:space="preserve">4 = 1997/98</t>
  </si>
  <si>
    <t xml:space="preserve">5 = 1998/99</t>
  </si>
  <si>
    <t xml:space="preserve">6 = 1999/00</t>
  </si>
  <si>
    <t xml:space="preserve">7 = 2000/01</t>
  </si>
  <si>
    <t xml:space="preserve">8 = 2001/02</t>
  </si>
  <si>
    <t xml:space="preserve">9 = 2002/03</t>
  </si>
  <si>
    <t xml:space="preserve">10 = 2003/04</t>
  </si>
  <si>
    <t xml:space="preserve">11 = 2004/05</t>
  </si>
  <si>
    <t xml:space="preserve">12 = 2005/06</t>
  </si>
  <si>
    <t xml:space="preserve">13 = 2006/07</t>
  </si>
  <si>
    <t xml:space="preserve">14 = 2007/08</t>
  </si>
  <si>
    <t xml:space="preserve">15 = 2008/09</t>
  </si>
  <si>
    <t xml:space="preserve">16 = 2009/10</t>
  </si>
  <si>
    <t xml:space="preserve">17 = 2010/11</t>
  </si>
  <si>
    <t xml:space="preserve">18 = 2011/12</t>
  </si>
  <si>
    <t xml:space="preserve">19 = 2012/13</t>
  </si>
  <si>
    <t xml:space="preserve">20 = 2013/14</t>
  </si>
  <si>
    <t xml:space="preserve">21 = 2014/15</t>
  </si>
  <si>
    <t xml:space="preserve">22 = 2015/16</t>
  </si>
  <si>
    <t xml:space="preserve">23 = 2016/17</t>
  </si>
  <si>
    <t xml:space="preserve">24 = 2017/18</t>
  </si>
  <si>
    <t xml:space="preserve">25 = 2018/19</t>
  </si>
  <si>
    <t xml:space="preserve">0001</t>
  </si>
  <si>
    <t xml:space="preserve">0102</t>
  </si>
  <si>
    <t xml:space="preserve">0203</t>
  </si>
  <si>
    <t xml:space="preserve">0304</t>
  </si>
  <si>
    <t xml:space="preserve">0405</t>
  </si>
  <si>
    <t xml:space="preserve">0506</t>
  </si>
  <si>
    <t xml:space="preserve">0607</t>
  </si>
  <si>
    <t xml:space="preserve">0708</t>
  </si>
  <si>
    <t xml:space="preserve">0809</t>
  </si>
  <si>
    <t xml:space="preserve">0910</t>
  </si>
  <si>
    <t xml:space="preserve">1011</t>
  </si>
  <si>
    <t xml:space="preserve">1112</t>
  </si>
  <si>
    <t xml:space="preserve">1213</t>
  </si>
  <si>
    <t xml:space="preserve">1314</t>
  </si>
  <si>
    <t xml:space="preserve">1415</t>
  </si>
  <si>
    <t xml:space="preserve">1516</t>
  </si>
  <si>
    <t xml:space="preserve">1617</t>
  </si>
  <si>
    <t xml:space="preserve">1718</t>
  </si>
  <si>
    <t xml:space="preserve">1819</t>
  </si>
  <si>
    <t xml:space="preserve">Age of youngest child in the family</t>
  </si>
  <si>
    <t xml:space="preserve">1 = 0-4</t>
  </si>
  <si>
    <t xml:space="preserve">2 = 5-10</t>
  </si>
  <si>
    <t xml:space="preserve">3 = 11-15</t>
  </si>
  <si>
    <t xml:space="preserve">4 = 16-19</t>
  </si>
  <si>
    <t xml:space="preserve">.A = Not applicable (no children in family)</t>
  </si>
  <si>
    <t xml:space="preserve">HBAI Resamples Dataset Variable List</t>
  </si>
  <si>
    <t xml:space="preserve">The following table summarises the variables in the HBAI resamples datasets.</t>
  </si>
  <si>
    <t xml:space="preserve">Variable Name</t>
  </si>
  <si>
    <t xml:space="preserve">Family (Benefit Unit) Level Datasets</t>
  </si>
  <si>
    <t xml:space="preserve">Individual Level Datasets</t>
  </si>
  <si>
    <t xml:space="preserve">Serial number for the household</t>
  </si>
  <si>
    <t xml:space="preserve">Need to derive from Family (benefit unit) resamples datasets - see User Guide</t>
  </si>
  <si>
    <t xml:space="preserve">Position of family (benefit unit) in the household.</t>
  </si>
  <si>
    <t xml:space="preserve">GS_NEWPP1 – GS_NEWPP1000</t>
  </si>
  <si>
    <t xml:space="preserve">SPI’d grossing factor for an individual.</t>
  </si>
  <si>
    <t xml:space="preserve">GS_NEWCH1 – GS_NEWCH1000</t>
  </si>
  <si>
    <t xml:space="preserve">SPI’d grossing factor for a child</t>
  </si>
  <si>
    <t xml:space="preserve">GS_NEWAD1 – GS_NEWAD1000</t>
  </si>
  <si>
    <t xml:space="preserve">SPI’d grossing factor for an adult</t>
  </si>
  <si>
    <t xml:space="preserve">GS_NEWWA1 – GS_NEWWA1000</t>
  </si>
  <si>
    <t xml:space="preserve">SPI’d grossing factor for a working-age adult.</t>
  </si>
  <si>
    <t xml:space="preserve">GS_NEWPN1 – GS_NEWPN1000</t>
  </si>
  <si>
    <t xml:space="preserve">SPI’d grossing factor for a pensioner.</t>
  </si>
  <si>
    <t xml:space="preserve">GS_NEWBU1 – GS_NEWBU1000</t>
  </si>
  <si>
    <t xml:space="preserve">SPI’d grossing factor for the family (benefit unit).</t>
  </si>
  <si>
    <t xml:space="preserve">GS_NEWHH1 – GS_NEWHH1000</t>
  </si>
  <si>
    <t xml:space="preserve">SPI’d grossing factor for the household.</t>
  </si>
  <si>
    <t xml:space="preserve">The following adjustments may be applied to HBAI income variables:</t>
  </si>
  <si>
    <t xml:space="preserve">Adjustment</t>
  </si>
  <si>
    <t xml:space="preserve">Formula</t>
  </si>
  <si>
    <t xml:space="preserve">(AHC)</t>
  </si>
  <si>
    <t xml:space="preserve">SPI'd</t>
  </si>
  <si>
    <t xml:space="preserve">Adjustments are made to the income components of sample cases at the top of the income distribution to correct for volatility in the highest incomes captured in the survey. Separate adjustments are made for non-pensioners and pensioners, and for Great Britain and Northern Ireland.</t>
  </si>
  <si>
    <t xml:space="preserve">See Methodology Report</t>
  </si>
  <si>
    <t xml:space="preserve">Income is adjusted to make it comparable across households of different size and composition. A couple with no children is the reference point.</t>
  </si>
  <si>
    <t xml:space="preserve">BHC Income Variable</t>
  </si>
  <si>
    <t xml:space="preserve">AHC Income Variable</t>
  </si>
  <si>
    <r>
      <rPr>
        <sz val="12"/>
        <color rgb="FF000000"/>
        <rFont val="Arial"/>
        <family val="2"/>
        <charset val="1"/>
      </rPr>
      <t xml:space="preserve">Income is adjusted to account for the difference in prices between the survey year and the latest publication's survey year, so that respondent's income </t>
    </r>
    <r>
      <rPr>
        <b val="true"/>
        <sz val="12"/>
        <color rgb="FF000000"/>
        <rFont val="Arial"/>
        <family val="2"/>
        <charset val="1"/>
      </rPr>
      <t xml:space="preserve">across </t>
    </r>
    <r>
      <rPr>
        <b val="true"/>
        <u val="single"/>
        <sz val="12"/>
        <color rgb="FF000000"/>
        <rFont val="Arial"/>
        <family val="2"/>
        <charset val="1"/>
      </rPr>
      <t xml:space="preserve">different </t>
    </r>
    <r>
      <rPr>
        <b val="true"/>
        <sz val="12"/>
        <color rgb="FF000000"/>
        <rFont val="Arial"/>
        <family val="2"/>
        <charset val="1"/>
      </rPr>
      <t xml:space="preserve">financial years</t>
    </r>
    <r>
      <rPr>
        <sz val="12"/>
        <color rgb="FF000000"/>
        <rFont val="Arial"/>
        <family val="2"/>
        <charset val="1"/>
      </rPr>
      <t xml:space="preserve"> are comparable.</t>
    </r>
  </si>
  <si>
    <t xml:space="preserve">BHC Income Variable * BHCPUBDEF</t>
  </si>
  <si>
    <t xml:space="preserve">AHC Income Variable * AHCPUBDEF</t>
  </si>
  <si>
    <t xml:space="preserve">See the tab 'HBAI Deflators' for more information</t>
  </si>
  <si>
    <r>
      <rPr>
        <sz val="12"/>
        <color rgb="FF000000"/>
        <rFont val="Arial"/>
        <family val="2"/>
        <charset val="1"/>
      </rPr>
      <t xml:space="preserve">As the questionnaire is asked at different points in a financial year, an in-year adjustment to individuals incomes to ensure that respondent's income collected </t>
    </r>
    <r>
      <rPr>
        <b val="true"/>
        <sz val="12"/>
        <color rgb="FF000000"/>
        <rFont val="Arial"/>
        <family val="2"/>
        <charset val="1"/>
      </rPr>
      <t xml:space="preserve">across </t>
    </r>
    <r>
      <rPr>
        <b val="true"/>
        <u val="single"/>
        <sz val="12"/>
        <color rgb="FF000000"/>
        <rFont val="Arial"/>
        <family val="2"/>
        <charset val="1"/>
      </rPr>
      <t xml:space="preserve">the</t>
    </r>
    <r>
      <rPr>
        <b val="true"/>
        <sz val="12"/>
        <color rgb="FF000000"/>
        <rFont val="Arial"/>
        <family val="2"/>
        <charset val="1"/>
      </rPr>
      <t xml:space="preserve"> financial year </t>
    </r>
    <r>
      <rPr>
        <sz val="12"/>
        <color rgb="FF000000"/>
        <rFont val="Arial"/>
        <family val="2"/>
        <charset val="1"/>
      </rPr>
      <t xml:space="preserve">are comparable.</t>
    </r>
  </si>
  <si>
    <t xml:space="preserve">BHC Income Variable * BHCDEF</t>
  </si>
  <si>
    <t xml:space="preserve">AHC Income Variable * AHCDEF</t>
  </si>
  <si>
    <t xml:space="preserve">The 'Main &amp; Back-series Datasets' tab indicates which adjustments have been applied to income variables.</t>
  </si>
  <si>
    <t xml:space="preserve">Further information can be found at:</t>
  </si>
  <si>
    <t xml:space="preserve">Households Below Average Income: An analysis of the UK income distribution: 1994/95-2018/19</t>
  </si>
  <si>
    <t xml:space="preserve">Gov.uk</t>
  </si>
  <si>
    <t xml:space="preserve">HBAI Quality and Methodology Report 2018/19</t>
  </si>
  <si>
    <t xml:space="preserve">HBAI User Guide</t>
  </si>
  <si>
    <t xml:space="preserve">or </t>
  </si>
  <si>
    <t xml:space="preserve">HBAI Datasets Income Variables Derivation</t>
  </si>
  <si>
    <t xml:space="preserve">DWP Sharepoint</t>
  </si>
  <si>
    <t xml:space="preserve">HBAI Datasets Benefit Income Variables Derivation</t>
  </si>
  <si>
    <t xml:space="preserve">HBAI Datasets Ethnicity Variables Derivation Over Time</t>
  </si>
  <si>
    <t xml:space="preserve">Bespoke CPI-based deflators replaced RPI-based deflators from the 2014/15 publication onwards and new HBAI back-series datasets were created with the new methodology.</t>
  </si>
  <si>
    <t xml:space="preserve">Since the HBAI 2017/18 publication, the Office for National Statistics (ONS) have made some very minor revisions to the bespoke Consumer Price Index (CPI) series we use to make real-terms income comparisons within and between survey years. However, because the effect of these revisions on low income measures is negligible </t>
  </si>
  <si>
    <t xml:space="preserve">no revisions have been made to the deflators used in HBAI, see: </t>
  </si>
  <si>
    <t xml:space="preserve">ONS update</t>
  </si>
  <si>
    <t xml:space="preserve">The following table summarises the data sources over time (as a full published series from 1994/95 onwards is not available):</t>
  </si>
  <si>
    <t xml:space="preserve">Deflators for Survey Year Prices</t>
  </si>
  <si>
    <t xml:space="preserve">Deflators for Average of the Survey Year Prices</t>
  </si>
  <si>
    <t xml:space="preserve">Months</t>
  </si>
  <si>
    <t xml:space="preserve">Series</t>
  </si>
  <si>
    <t xml:space="preserve">Income is adjusted to account for the difference in prices between the survey year </t>
  </si>
  <si>
    <t xml:space="preserve">As the questionnaire is asked at different points in a financial year, an in-year </t>
  </si>
  <si>
    <t xml:space="preserve">Before Housing Costs:</t>
  </si>
  <si>
    <t xml:space="preserve">April 1994 - December 1999</t>
  </si>
  <si>
    <t xml:space="preserve">HBAI-team derived calculation based on bespoke RPI-based BHC</t>
  </si>
  <si>
    <t xml:space="preserve">and the latest publication's survey year, so that respondent's income across</t>
  </si>
  <si>
    <t xml:space="preserve">adjustment to individuals incomes to ensure that respondent's income collected </t>
  </si>
  <si>
    <t xml:space="preserve">series used prior to HBAI 2014/15 (AGG4111)</t>
  </si>
  <si>
    <t xml:space="preserve">different financial years are comparable.</t>
  </si>
  <si>
    <r>
      <rPr>
        <b val="true"/>
        <sz val="12"/>
        <color rgb="FF000000"/>
        <rFont val="Arial"/>
        <family val="2"/>
        <charset val="1"/>
      </rPr>
      <t xml:space="preserve">across the financial year</t>
    </r>
    <r>
      <rPr>
        <sz val="12"/>
        <color rgb="FF000000"/>
        <rFont val="Arial"/>
        <family val="2"/>
        <charset val="1"/>
      </rPr>
      <t xml:space="preserve"> are comparable.</t>
    </r>
  </si>
  <si>
    <t xml:space="preserve">January 2000 +</t>
  </si>
  <si>
    <t xml:space="preserve">Table 1b: CPI Including Mortgage Interest Payments (MIPs),</t>
  </si>
  <si>
    <t xml:space="preserve">Ground Rent and Dwelling Insurance (Table 1b)</t>
  </si>
  <si>
    <t xml:space="preserve">The annual figures are calculated by taking the average of the financial year. </t>
  </si>
  <si>
    <t xml:space="preserve">The 'within year' deflator is calculated by dividing the average of the survey year's</t>
  </si>
  <si>
    <t xml:space="preserve">value by the value of the month of questionnaire interview (using the FRS variable</t>
  </si>
  <si>
    <t xml:space="preserve">After Housing Costs:</t>
  </si>
  <si>
    <t xml:space="preserve">April 1994 - December 1995</t>
  </si>
  <si>
    <t xml:space="preserve">HBAI-team derived calculation based on RPIX series used prior to </t>
  </si>
  <si>
    <t xml:space="preserve">E.g. for 1994/95: </t>
  </si>
  <si>
    <t xml:space="preserve">intdate') </t>
  </si>
  <si>
    <t xml:space="preserve">2014/15 (ONS series: CHAZ)</t>
  </si>
  <si>
    <t xml:space="preserve">January 1996 +</t>
  </si>
  <si>
    <t xml:space="preserve">Table 1a: CPI excluding Rents, Maintenance Repairs and Water</t>
  </si>
  <si>
    <r>
      <rPr>
        <sz val="12"/>
        <color rgb="FF000000"/>
        <rFont val="Arial"/>
        <family val="2"/>
        <charset val="1"/>
      </rPr>
      <t xml:space="preserve">BHCYRDEF = </t>
    </r>
    <r>
      <rPr>
        <u val="single"/>
        <sz val="12"/>
        <color rgb="FF000000"/>
        <rFont val="Arial"/>
        <family val="2"/>
        <charset val="1"/>
      </rPr>
      <t xml:space="preserve">(Apr 94 BHC + May 94 BHC  + … + Feb 95 BHC + Mar 95 BHC)</t>
    </r>
  </si>
  <si>
    <t xml:space="preserve">E.g. for an interview taken in October 1994:</t>
  </si>
  <si>
    <t xml:space="preserve">Charges</t>
  </si>
  <si>
    <t xml:space="preserve">AHCDEF = (AHCYRDEF 9495)/(CPI Deflator AHC Oct 94) = 67.4/67.2 = 1.002976</t>
  </si>
  <si>
    <t xml:space="preserve">For more information, see:</t>
  </si>
  <si>
    <t xml:space="preserve">2014/15 Quality and Methodology Report</t>
  </si>
  <si>
    <t xml:space="preserve">(and rounded to the nearest 1 decimal place in the HBAI dataset).</t>
  </si>
  <si>
    <t xml:space="preserve">(deflators are unrounded in the HBAI dataset)</t>
  </si>
  <si>
    <t xml:space="preserve">Monthly</t>
  </si>
  <si>
    <t xml:space="preserve">CPI Deflator</t>
  </si>
  <si>
    <t xml:space="preserve">Annual</t>
  </si>
  <si>
    <t xml:space="preserve">1994/95</t>
  </si>
  <si>
    <t xml:space="preserve">1995/96</t>
  </si>
  <si>
    <t xml:space="preserve">1996/97</t>
  </si>
  <si>
    <t xml:space="preserve">1998/99</t>
  </si>
  <si>
    <t xml:space="preserve">1999/00</t>
  </si>
  <si>
    <t xml:space="preserve">2000/01</t>
  </si>
  <si>
    <t xml:space="preserve">2001/02</t>
  </si>
  <si>
    <t xml:space="preserve">2003/04</t>
  </si>
  <si>
    <t xml:space="preserve">2004/05</t>
  </si>
  <si>
    <t xml:space="preserve">2005/06</t>
  </si>
  <si>
    <t xml:space="preserve">2006/07</t>
  </si>
  <si>
    <t xml:space="preserve">2007/08</t>
  </si>
  <si>
    <t xml:space="preserve">2008/09</t>
  </si>
  <si>
    <t xml:space="preserve">2009/10</t>
  </si>
  <si>
    <t xml:space="preserve">2011/12</t>
  </si>
  <si>
    <t xml:space="preserve">2012/13</t>
  </si>
  <si>
    <t xml:space="preserve">2013/14</t>
  </si>
  <si>
    <t xml:space="preserve">2015/16</t>
  </si>
  <si>
    <t xml:space="preserve">2016/17</t>
  </si>
  <si>
    <t xml:space="preserve">2017/18</t>
  </si>
  <si>
    <t xml:space="preserve">2018/19</t>
  </si>
  <si>
    <t xml:space="preserve">BHCPUBDEF = BHCYRDEF</t>
  </si>
  <si>
    <t xml:space="preserve">AHCPUBDEF = AHCYRDEF</t>
  </si>
  <si>
    <t xml:space="preserve">for the publication year</t>
  </si>
  <si>
    <t xml:space="preserve">Converting ‘in latest survey year's prices’ to ‘survey year prices' income values</t>
  </si>
  <si>
    <t xml:space="preserve">1.  The new, harmonised back-series datasets provide income values for all years </t>
  </si>
  <si>
    <t xml:space="preserve">in the latest survey year's CPI-based prices. For example, 1996/97 income variables </t>
  </si>
  <si>
    <t xml:space="preserve">are in 2018/19 prices.</t>
  </si>
  <si>
    <t xml:space="preserve">2. To convert back to the actual survey year prices (nominal value), e.g. 1996/97 </t>
  </si>
  <si>
    <t xml:space="preserve">income values in 1996/97 prices, income values need to be multiplied by a factor </t>
  </si>
  <si>
    <t xml:space="preserve">x/y, where: </t>
  </si>
  <si>
    <t xml:space="preserve">x=the year into which we are converting incomes, i.e. the survey year</t>
  </si>
  <si>
    <t xml:space="preserve">y=the year that incomes are currently expressed in, i.e. the latest survey year</t>
  </si>
  <si>
    <t xml:space="preserve">3. For example, to transform a BHC value of £100 in 1996/97 from latest 2018/19</t>
  </si>
  <si>
    <t xml:space="preserve">prices to in-year 1996/97 prices, calculate:</t>
  </si>
  <si>
    <t xml:space="preserve">In-year 1996/97 BHC value: </t>
  </si>
  <si>
    <t xml:space="preserve">= 1996/97 BHC value in 2018/19 prices * (1996/97 BHCYRDEF / 2018/19 BHCYRDEF)</t>
  </si>
  <si>
    <t xml:space="preserve">=100*(67.8/106.2)</t>
  </si>
  <si>
    <t xml:space="preserve">= £64.</t>
  </si>
</sst>
</file>

<file path=xl/styles.xml><?xml version="1.0" encoding="utf-8"?>
<styleSheet xmlns="http://schemas.openxmlformats.org/spreadsheetml/2006/main">
  <numFmts count="4">
    <numFmt numFmtId="164" formatCode="General"/>
    <numFmt numFmtId="165" formatCode="MMM\-YY"/>
    <numFmt numFmtId="166" formatCode="0.0"/>
    <numFmt numFmtId="167" formatCode="0.000000"/>
  </numFmts>
  <fonts count="35">
    <font>
      <sz val="12"/>
      <color rgb="FF000000"/>
      <name val="Arial"/>
      <family val="2"/>
      <charset val="1"/>
    </font>
    <font>
      <sz val="10"/>
      <name val="Arial"/>
      <family val="0"/>
    </font>
    <font>
      <sz val="10"/>
      <name val="Arial"/>
      <family val="0"/>
    </font>
    <font>
      <sz val="10"/>
      <name val="Arial"/>
      <family val="0"/>
    </font>
    <font>
      <sz val="10"/>
      <name val="Arial"/>
      <family val="2"/>
      <charset val="1"/>
    </font>
    <font>
      <sz val="11"/>
      <color rgb="FF000000"/>
      <name val="Calibri"/>
      <family val="2"/>
      <charset val="1"/>
    </font>
    <font>
      <b val="true"/>
      <u val="single"/>
      <sz val="12"/>
      <color rgb="FF000000"/>
      <name val="Arial"/>
      <family val="2"/>
      <charset val="1"/>
    </font>
    <font>
      <u val="single"/>
      <sz val="12"/>
      <color rgb="FF0563C1"/>
      <name val="Arial"/>
      <family val="2"/>
      <charset val="1"/>
    </font>
    <font>
      <b val="true"/>
      <sz val="12"/>
      <color rgb="FF000000"/>
      <name val="Arial"/>
      <family val="2"/>
      <charset val="1"/>
    </font>
    <font>
      <sz val="12"/>
      <color rgb="FF000000"/>
      <name val="Wingdings"/>
      <family val="0"/>
      <charset val="2"/>
    </font>
    <font>
      <b val="true"/>
      <sz val="12"/>
      <color rgb="FF4472C4"/>
      <name val="Arial"/>
      <family val="2"/>
      <charset val="1"/>
    </font>
    <font>
      <sz val="12"/>
      <color rgb="FF4472C4"/>
      <name val="Arial"/>
      <family val="2"/>
      <charset val="1"/>
    </font>
    <font>
      <sz val="12"/>
      <color rgb="FFFF0000"/>
      <name val="Arial"/>
      <family val="2"/>
      <charset val="1"/>
    </font>
    <font>
      <sz val="10"/>
      <color rgb="FF000000"/>
      <name val="Arial"/>
      <family val="2"/>
      <charset val="1"/>
    </font>
    <font>
      <b val="true"/>
      <u val="single"/>
      <sz val="10"/>
      <color rgb="FF000000"/>
      <name val="Arial"/>
      <family val="2"/>
      <charset val="1"/>
    </font>
    <font>
      <sz val="8"/>
      <color rgb="FF000000"/>
      <name val="Arial"/>
      <family val="2"/>
      <charset val="1"/>
    </font>
    <font>
      <u val="single"/>
      <sz val="8"/>
      <color rgb="FF0563C1"/>
      <name val="Arial"/>
      <family val="2"/>
      <charset val="1"/>
    </font>
    <font>
      <b val="true"/>
      <sz val="10"/>
      <color rgb="FF000000"/>
      <name val="Arial"/>
      <family val="2"/>
      <charset val="1"/>
    </font>
    <font>
      <sz val="10"/>
      <color rgb="FFFF0000"/>
      <name val="Arial"/>
      <family val="2"/>
      <charset val="1"/>
    </font>
    <font>
      <sz val="12"/>
      <color rgb="FF5B9BD5"/>
      <name val="Arial"/>
      <family val="2"/>
      <charset val="1"/>
    </font>
    <font>
      <b val="true"/>
      <sz val="16"/>
      <color rgb="FF000000"/>
      <name val="Arial"/>
      <family val="2"/>
      <charset val="1"/>
    </font>
    <font>
      <sz val="12"/>
      <name val="Arial"/>
      <family val="2"/>
      <charset val="1"/>
    </font>
    <font>
      <sz val="12"/>
      <color rgb="FF7C7C7C"/>
      <name val="Arial"/>
      <family val="2"/>
      <charset val="1"/>
    </font>
    <font>
      <b val="true"/>
      <sz val="12"/>
      <color rgb="FFC00000"/>
      <name val="Arial"/>
      <family val="2"/>
      <charset val="1"/>
    </font>
    <font>
      <b val="true"/>
      <sz val="14"/>
      <color rgb="FF000000"/>
      <name val="Arial"/>
      <family val="2"/>
      <charset val="1"/>
    </font>
    <font>
      <sz val="14"/>
      <color rgb="FF000000"/>
      <name val="Arial"/>
      <family val="2"/>
      <charset val="1"/>
    </font>
    <font>
      <b val="true"/>
      <sz val="14"/>
      <color rgb="FF4472C4"/>
      <name val="Arial"/>
      <family val="2"/>
      <charset val="1"/>
    </font>
    <font>
      <sz val="14"/>
      <color rgb="FF4472C4"/>
      <name val="Arial"/>
      <family val="2"/>
      <charset val="1"/>
    </font>
    <font>
      <b val="true"/>
      <sz val="14"/>
      <color rgb="FFC00000"/>
      <name val="Arial"/>
      <family val="2"/>
      <charset val="1"/>
    </font>
    <font>
      <sz val="12"/>
      <color rgb="FF7030A0"/>
      <name val="Arial"/>
      <family val="2"/>
      <charset val="1"/>
    </font>
    <font>
      <sz val="12"/>
      <color rgb="FF2E75B6"/>
      <name val="Arial"/>
      <family val="2"/>
      <charset val="1"/>
    </font>
    <font>
      <b val="true"/>
      <sz val="9"/>
      <color rgb="FF000000"/>
      <name val="Tahoma"/>
      <family val="2"/>
      <charset val="1"/>
    </font>
    <font>
      <u val="single"/>
      <sz val="12"/>
      <color rgb="FF000000"/>
      <name val="Arial"/>
      <family val="2"/>
      <charset val="1"/>
    </font>
    <font>
      <b val="true"/>
      <sz val="12"/>
      <name val="Arial"/>
      <family val="2"/>
      <charset val="1"/>
    </font>
    <font>
      <u val="single"/>
      <sz val="12"/>
      <color rgb="FF0000FF"/>
      <name val="Arial"/>
      <family val="2"/>
      <charset val="1"/>
    </font>
  </fonts>
  <fills count="8">
    <fill>
      <patternFill patternType="none"/>
    </fill>
    <fill>
      <patternFill patternType="gray125"/>
    </fill>
    <fill>
      <patternFill patternType="solid">
        <fgColor rgb="FFFFFFFF"/>
        <bgColor rgb="FFE2F0D9"/>
      </patternFill>
    </fill>
    <fill>
      <patternFill patternType="solid">
        <fgColor rgb="FFDBCBF1"/>
        <bgColor rgb="FFE3D7F5"/>
      </patternFill>
    </fill>
    <fill>
      <patternFill patternType="solid">
        <fgColor rgb="FFE3D7F5"/>
        <bgColor rgb="FFDBCBF1"/>
      </patternFill>
    </fill>
    <fill>
      <patternFill patternType="solid">
        <fgColor rgb="FFFBE5D6"/>
        <bgColor rgb="FFE2F0D9"/>
      </patternFill>
    </fill>
    <fill>
      <patternFill patternType="solid">
        <fgColor rgb="FFDEEBF7"/>
        <bgColor rgb="FFE2F0D9"/>
      </patternFill>
    </fill>
    <fill>
      <patternFill patternType="solid">
        <fgColor rgb="FFE2F0D9"/>
        <bgColor rgb="FFDEEBF7"/>
      </patternFill>
    </fill>
  </fills>
  <borders count="46">
    <border diagonalUp="false" diagonalDown="false">
      <left/>
      <right/>
      <top/>
      <bottom/>
      <diagonal/>
    </border>
    <border diagonalUp="false" diagonalDown="false">
      <left style="medium"/>
      <right/>
      <top style="medium"/>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style="medium"/>
      <right style="medium"/>
      <top/>
      <bottom/>
      <diagonal/>
    </border>
    <border diagonalUp="false" diagonalDown="false">
      <left/>
      <right style="medium"/>
      <top/>
      <bottom/>
      <diagonal/>
    </border>
    <border diagonalUp="false" diagonalDown="false">
      <left style="medium"/>
      <right/>
      <top/>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right/>
      <top style="medium"/>
      <bottom style="medium"/>
      <diagonal/>
    </border>
    <border diagonalUp="false" diagonalDown="false">
      <left/>
      <right style="thin"/>
      <top/>
      <bottom/>
      <diagonal/>
    </border>
    <border diagonalUp="false" diagonalDown="false">
      <left style="thin"/>
      <right/>
      <top/>
      <bottom/>
      <diagonal/>
    </border>
    <border diagonalUp="false" diagonalDown="false">
      <left/>
      <right style="thin"/>
      <top style="medium"/>
      <bottom style="medium"/>
      <diagonal/>
    </border>
    <border diagonalUp="false" diagonalDown="false">
      <left/>
      <right/>
      <top/>
      <bottom style="mediu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diagonal/>
    </border>
    <border diagonalUp="false" diagonalDown="false">
      <left/>
      <right style="thin"/>
      <top style="thin"/>
      <bottom/>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bottom style="thin"/>
      <diagonal/>
    </border>
    <border diagonalUp="false" diagonalDown="false">
      <left/>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thin"/>
      <right style="medium"/>
      <top style="thin"/>
      <bottom/>
      <diagonal/>
    </border>
    <border diagonalUp="false" diagonalDown="false">
      <left style="medium"/>
      <right/>
      <top/>
      <bottom style="thin"/>
      <diagonal/>
    </border>
    <border diagonalUp="false" diagonalDown="false">
      <left style="thin"/>
      <right style="thin"/>
      <top style="medium"/>
      <bottom style="thin"/>
      <diagonal/>
    </border>
    <border diagonalUp="false" diagonalDown="false">
      <left style="medium"/>
      <right style="thin"/>
      <top/>
      <bottom style="thin"/>
      <diagonal/>
    </border>
    <border diagonalUp="false" diagonalDown="false">
      <left style="medium"/>
      <right/>
      <top style="thin"/>
      <bottom style="thin"/>
      <diagonal/>
    </border>
    <border diagonalUp="false" diagonalDown="false">
      <left style="thin"/>
      <right style="medium"/>
      <top style="thin"/>
      <bottom style="thin"/>
      <diagonal/>
    </border>
    <border diagonalUp="false" diagonalDown="false">
      <left style="medium"/>
      <right style="thin"/>
      <top style="thin"/>
      <bottom style="thin"/>
      <diagonal/>
    </border>
    <border diagonalUp="false" diagonalDown="false">
      <left style="medium"/>
      <right/>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style="thin"/>
      <bottom style="medium"/>
      <diagonal/>
    </border>
    <border diagonalUp="false" diagonalDown="false">
      <left style="medium"/>
      <right/>
      <top style="medium"/>
      <bottom style="thin"/>
      <diagonal/>
    </border>
    <border diagonalUp="false" diagonalDown="false">
      <left style="medium"/>
      <right style="thin"/>
      <top style="medium"/>
      <bottom style="thin"/>
      <diagonal/>
    </border>
    <border diagonalUp="false" diagonalDown="false">
      <left style="thin"/>
      <right style="medium"/>
      <top/>
      <bottom style="thin"/>
      <diagonal/>
    </border>
    <border diagonalUp="false" diagonalDown="false">
      <left style="medium"/>
      <right style="thin"/>
      <top style="thin"/>
      <bottom/>
      <diagonal/>
    </border>
    <border diagonalUp="false" diagonalDown="false">
      <left/>
      <right style="thin"/>
      <top/>
      <bottom style="medium"/>
      <diagonal/>
    </border>
    <border diagonalUp="false" diagonalDown="false">
      <left style="thin"/>
      <right style="medium"/>
      <top/>
      <bottom style="mediu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33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center" vertical="bottom" textRotation="0" wrapText="false" indent="0" shrinkToFit="false"/>
      <protection locked="true" hidden="false"/>
    </xf>
    <xf numFmtId="164" fontId="6" fillId="2" borderId="0" xfId="0" applyFont="true" applyBorder="false" applyAlignment="false" applyProtection="false">
      <alignment horizontal="general" vertical="bottom" textRotation="0" wrapText="false" indent="0" shrinkToFit="false"/>
      <protection locked="true" hidden="false"/>
    </xf>
    <xf numFmtId="164" fontId="7" fillId="2" borderId="0" xfId="20" applyFont="true" applyBorder="true" applyAlignment="true" applyProtection="true">
      <alignment horizontal="center" vertical="bottom" textRotation="0" wrapText="true" indent="0" shrinkToFit="false"/>
      <protection locked="true" hidden="false"/>
    </xf>
    <xf numFmtId="164" fontId="7" fillId="2" borderId="0" xfId="20" applyFont="true" applyBorder="true" applyAlignment="true" applyProtection="true">
      <alignment horizontal="center" vertical="bottom" textRotation="0" wrapText="false" indent="0" shrinkToFit="false"/>
      <protection locked="true" hidden="false"/>
    </xf>
    <xf numFmtId="164" fontId="8" fillId="2" borderId="0" xfId="0" applyFont="true" applyBorder="false" applyAlignment="false" applyProtection="false">
      <alignment horizontal="general" vertical="bottom" textRotation="0" wrapText="false" indent="0" shrinkToFit="false"/>
      <protection locked="true" hidden="false"/>
    </xf>
    <xf numFmtId="164" fontId="8" fillId="2" borderId="0" xfId="0" applyFont="true" applyBorder="false" applyAlignment="true" applyProtection="false">
      <alignment horizontal="left" vertical="bottom" textRotation="0" wrapText="false" indent="0" shrinkToFit="false"/>
      <protection locked="true" hidden="false"/>
    </xf>
    <xf numFmtId="164" fontId="8" fillId="2" borderId="0" xfId="0" applyFont="true" applyBorder="false" applyAlignment="true" applyProtection="false">
      <alignment horizontal="center" vertical="bottom" textRotation="0" wrapText="false" indent="0" shrinkToFit="false"/>
      <protection locked="true" hidden="false"/>
    </xf>
    <xf numFmtId="164" fontId="7" fillId="2" borderId="0" xfId="20" applyFont="true" applyBorder="true" applyAlignment="true" applyProtection="true">
      <alignment horizontal="general" vertical="center" textRotation="0" wrapText="false" indent="0" shrinkToFit="false"/>
      <protection locked="true" hidden="false"/>
    </xf>
    <xf numFmtId="164" fontId="0" fillId="2" borderId="0" xfId="0" applyFont="true" applyBorder="false" applyAlignment="true" applyProtection="false">
      <alignment horizontal="left" vertical="bottom" textRotation="0" wrapText="false" indent="0" shrinkToFit="false"/>
      <protection locked="true" hidden="false"/>
    </xf>
    <xf numFmtId="164" fontId="7" fillId="2" borderId="0" xfId="20" applyFont="true" applyBorder="true" applyAlignment="true" applyProtection="true">
      <alignment horizontal="general" vertical="bottom" textRotation="0" wrapText="false" indent="0" shrinkToFit="false"/>
      <protection locked="true" hidden="false"/>
    </xf>
    <xf numFmtId="164" fontId="8" fillId="2" borderId="0" xfId="0" applyFont="true" applyBorder="false" applyAlignment="true" applyProtection="false">
      <alignment horizontal="general" vertical="center" textRotation="0" wrapText="false" indent="0" shrinkToFit="false"/>
      <protection locked="true" hidden="false"/>
    </xf>
    <xf numFmtId="164" fontId="8" fillId="2" borderId="0" xfId="0" applyFont="true" applyBorder="false" applyAlignment="true" applyProtection="false">
      <alignment horizontal="general" vertical="top" textRotation="0" wrapText="false" indent="0" shrinkToFit="false"/>
      <protection locked="true" hidden="false"/>
    </xf>
    <xf numFmtId="164" fontId="0" fillId="2" borderId="0" xfId="0" applyFont="true" applyBorder="false" applyAlignment="true" applyProtection="false">
      <alignment horizontal="justify" vertical="center" textRotation="0" wrapText="false" indent="0" shrinkToFit="false"/>
      <protection locked="true" hidden="false"/>
    </xf>
    <xf numFmtId="164" fontId="0" fillId="2" borderId="1" xfId="0" applyFont="true" applyBorder="true" applyAlignment="true" applyProtection="false">
      <alignment horizontal="justify" vertical="center" textRotation="0" wrapText="false" indent="0" shrinkToFit="false"/>
      <protection locked="true" hidden="false"/>
    </xf>
    <xf numFmtId="164" fontId="8" fillId="2" borderId="2" xfId="0" applyFont="true" applyBorder="true" applyAlignment="true" applyProtection="false">
      <alignment horizontal="center" vertical="center" textRotation="0" wrapText="false" indent="0" shrinkToFit="false"/>
      <protection locked="true" hidden="false"/>
    </xf>
    <xf numFmtId="164" fontId="8" fillId="2" borderId="3" xfId="0" applyFont="true" applyBorder="true" applyAlignment="true" applyProtection="false">
      <alignment horizontal="center" vertical="center" textRotation="0" wrapText="false" indent="0" shrinkToFit="false"/>
      <protection locked="true" hidden="false"/>
    </xf>
    <xf numFmtId="164" fontId="0" fillId="2" borderId="0" xfId="0" applyFont="true" applyBorder="false" applyAlignment="false" applyProtection="false">
      <alignment horizontal="general" vertical="bottom" textRotation="0" wrapText="false" indent="0" shrinkToFit="false"/>
      <protection locked="true" hidden="false"/>
    </xf>
    <xf numFmtId="164" fontId="8" fillId="2" borderId="4" xfId="0" applyFont="true" applyBorder="true" applyAlignment="true" applyProtection="false">
      <alignment horizontal="general" vertical="center" textRotation="0" wrapText="false" indent="0" shrinkToFit="false"/>
      <protection locked="true" hidden="false"/>
    </xf>
    <xf numFmtId="164" fontId="0" fillId="2" borderId="5" xfId="0" applyFont="false" applyBorder="true" applyAlignment="true" applyProtection="false">
      <alignment horizontal="center" vertical="bottom" textRotation="0" wrapText="false" indent="0" shrinkToFit="false"/>
      <protection locked="true" hidden="false"/>
    </xf>
    <xf numFmtId="164" fontId="0" fillId="2" borderId="5" xfId="0" applyFont="true" applyBorder="true" applyAlignment="true" applyProtection="false">
      <alignment horizontal="right" vertical="center" textRotation="0" wrapText="false" indent="0" shrinkToFit="false"/>
      <protection locked="true" hidden="false"/>
    </xf>
    <xf numFmtId="164" fontId="0" fillId="2" borderId="6" xfId="0" applyFont="true" applyBorder="true" applyAlignment="true" applyProtection="false">
      <alignment horizontal="right" vertical="center" textRotation="0" wrapText="false" indent="0" shrinkToFit="false"/>
      <protection locked="true" hidden="false"/>
    </xf>
    <xf numFmtId="164" fontId="0" fillId="2" borderId="7" xfId="0" applyFont="true" applyBorder="true" applyAlignment="true" applyProtection="false">
      <alignment horizontal="general" vertical="center" textRotation="0" wrapText="false" indent="0" shrinkToFit="false"/>
      <protection locked="true" hidden="false"/>
    </xf>
    <xf numFmtId="164" fontId="0" fillId="2" borderId="8" xfId="0" applyFont="true" applyBorder="true" applyAlignment="true" applyProtection="false">
      <alignment horizontal="center" vertical="bottom" textRotation="0" wrapText="false" indent="0" shrinkToFit="false"/>
      <protection locked="true" hidden="false"/>
    </xf>
    <xf numFmtId="164" fontId="0" fillId="2" borderId="8" xfId="0" applyFont="true" applyBorder="true" applyAlignment="true" applyProtection="false">
      <alignment horizontal="center" vertical="center" textRotation="0" wrapText="false" indent="0" shrinkToFit="false"/>
      <protection locked="true" hidden="false"/>
    </xf>
    <xf numFmtId="164" fontId="0" fillId="2" borderId="9" xfId="0" applyFont="true" applyBorder="true" applyAlignment="true" applyProtection="false">
      <alignment horizontal="center" vertical="center" textRotation="0" wrapText="false" indent="0" shrinkToFit="false"/>
      <protection locked="true" hidden="false"/>
    </xf>
    <xf numFmtId="164" fontId="0" fillId="2" borderId="0" xfId="0" applyFont="true" applyBorder="false" applyAlignment="true" applyProtection="false">
      <alignment horizontal="center" vertical="bottom" textRotation="0" wrapText="false" indent="0" shrinkToFit="false"/>
      <protection locked="true" hidden="false"/>
    </xf>
    <xf numFmtId="164" fontId="0" fillId="2" borderId="10" xfId="0" applyFont="true" applyBorder="true" applyAlignment="true" applyProtection="false">
      <alignment horizontal="general" vertical="center" textRotation="0" wrapText="false" indent="0" shrinkToFit="false"/>
      <protection locked="true" hidden="false"/>
    </xf>
    <xf numFmtId="164" fontId="0" fillId="2" borderId="11" xfId="0" applyFont="false" applyBorder="true" applyAlignment="true" applyProtection="false">
      <alignment horizontal="center" vertical="bottom" textRotation="0" wrapText="false" indent="0" shrinkToFit="false"/>
      <protection locked="true" hidden="false"/>
    </xf>
    <xf numFmtId="164" fontId="0" fillId="2" borderId="11" xfId="0" applyFont="true" applyBorder="tru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center" vertical="center" textRotation="0" wrapText="false" indent="0" shrinkToFit="false"/>
      <protection locked="true" hidden="false"/>
    </xf>
    <xf numFmtId="164" fontId="10" fillId="2" borderId="7" xfId="0" applyFont="true" applyBorder="true" applyAlignment="true" applyProtection="false">
      <alignment horizontal="general" vertical="center" textRotation="0" wrapText="false" indent="0" shrinkToFit="false"/>
      <protection locked="true" hidden="false"/>
    </xf>
    <xf numFmtId="164" fontId="11" fillId="2" borderId="8" xfId="0" applyFont="true" applyBorder="true" applyAlignment="true" applyProtection="false">
      <alignment horizontal="center" vertical="center" textRotation="0" wrapText="false" indent="0" shrinkToFit="false"/>
      <protection locked="true" hidden="false"/>
    </xf>
    <xf numFmtId="164" fontId="11" fillId="2" borderId="9" xfId="0" applyFont="true" applyBorder="true" applyAlignment="true" applyProtection="false">
      <alignment horizontal="center" vertical="center" textRotation="0" wrapText="false" indent="0" shrinkToFit="false"/>
      <protection locked="true" hidden="false"/>
    </xf>
    <xf numFmtId="164" fontId="11" fillId="2" borderId="7" xfId="0" applyFont="true" applyBorder="true" applyAlignment="true" applyProtection="false">
      <alignment horizontal="general" vertical="center" textRotation="0" wrapText="false" indent="0" shrinkToFit="false"/>
      <protection locked="true" hidden="false"/>
    </xf>
    <xf numFmtId="164" fontId="11" fillId="2" borderId="8" xfId="0" applyFont="true" applyBorder="true" applyAlignment="true" applyProtection="false">
      <alignment horizontal="center" vertical="bottom" textRotation="0" wrapText="false" indent="0" shrinkToFit="false"/>
      <protection locked="true" hidden="false"/>
    </xf>
    <xf numFmtId="164" fontId="12" fillId="2" borderId="0" xfId="0" applyFont="true" applyBorder="false" applyAlignment="false" applyProtection="false">
      <alignment horizontal="general" vertical="bottom" textRotation="0" wrapText="false" indent="0" shrinkToFit="false"/>
      <protection locked="true" hidden="false"/>
    </xf>
    <xf numFmtId="164" fontId="8" fillId="2" borderId="0" xfId="0" applyFont="true" applyBorder="false" applyAlignment="true" applyProtection="false">
      <alignment horizontal="general" vertical="bottom" textRotation="0" wrapText="false" indent="0" shrinkToFit="false"/>
      <protection locked="true" hidden="false"/>
    </xf>
    <xf numFmtId="164" fontId="11" fillId="2" borderId="10" xfId="0" applyFont="true" applyBorder="true" applyAlignment="false" applyProtection="false">
      <alignment horizontal="general" vertical="bottom" textRotation="0" wrapText="false" indent="0" shrinkToFit="false"/>
      <protection locked="true" hidden="false"/>
    </xf>
    <xf numFmtId="164" fontId="11" fillId="2" borderId="11" xfId="0" applyFont="true" applyBorder="true" applyAlignment="true" applyProtection="false">
      <alignment horizontal="right" vertical="bottom" textRotation="0" wrapText="false" indent="0" shrinkToFit="false"/>
      <protection locked="true" hidden="false"/>
    </xf>
    <xf numFmtId="164" fontId="11" fillId="2" borderId="12" xfId="0" applyFont="true" applyBorder="true" applyAlignment="true" applyProtection="false">
      <alignment horizontal="right" vertical="bottom" textRotation="0" wrapText="false" indent="0" shrinkToFit="false"/>
      <protection locked="true" hidden="false"/>
    </xf>
    <xf numFmtId="164" fontId="0" fillId="2"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center" vertical="center" textRotation="0" wrapText="true" indent="0" shrinkToFit="false"/>
      <protection locked="true" hidden="false"/>
    </xf>
    <xf numFmtId="164" fontId="13" fillId="0" borderId="0" xfId="0" applyFont="true" applyBorder="false" applyAlignment="true" applyProtection="false">
      <alignment horizontal="center" vertical="center" textRotation="0" wrapText="false" indent="0" shrinkToFit="false"/>
      <protection locked="true" hidden="false"/>
    </xf>
    <xf numFmtId="164" fontId="14" fillId="0"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right" vertical="center" textRotation="0" wrapText="true" indent="0" shrinkToFit="false"/>
      <protection locked="true" hidden="false"/>
    </xf>
    <xf numFmtId="164" fontId="16" fillId="0" borderId="0" xfId="20" applyFont="true" applyBorder="true" applyAlignment="true" applyProtection="true">
      <alignment horizontal="center" vertical="center" textRotation="0" wrapText="true" indent="0" shrinkToFit="false"/>
      <protection locked="true" hidden="false"/>
    </xf>
    <xf numFmtId="164" fontId="17" fillId="0" borderId="0" xfId="0" applyFont="true" applyBorder="false" applyAlignment="true" applyProtection="false">
      <alignment horizontal="center" vertical="center" textRotation="0" wrapText="true" indent="0" shrinkToFit="false"/>
      <protection locked="true" hidden="false"/>
    </xf>
    <xf numFmtId="164" fontId="17" fillId="0" borderId="0" xfId="0" applyFont="true" applyBorder="false" applyAlignment="true" applyProtection="false">
      <alignment horizontal="center"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true" indent="0" shrinkToFit="false"/>
      <protection locked="true" hidden="false"/>
    </xf>
    <xf numFmtId="164" fontId="17" fillId="0" borderId="13" xfId="0" applyFont="true" applyBorder="true" applyAlignment="true" applyProtection="false">
      <alignment horizontal="general" vertical="center" textRotation="0" wrapText="false" indent="0" shrinkToFit="false"/>
      <protection locked="true" hidden="false"/>
    </xf>
    <xf numFmtId="164" fontId="17" fillId="0" borderId="13" xfId="0" applyFont="true" applyBorder="true" applyAlignment="true" applyProtection="false">
      <alignment horizontal="left" vertical="center" textRotation="0" wrapText="true" indent="0" shrinkToFit="false"/>
      <protection locked="true" hidden="false"/>
    </xf>
    <xf numFmtId="164" fontId="17" fillId="0" borderId="13" xfId="0" applyFont="true" applyBorder="true" applyAlignment="true" applyProtection="false">
      <alignment horizontal="center" vertical="center" textRotation="0" wrapText="true" indent="0" shrinkToFit="false"/>
      <protection locked="true" hidden="false"/>
    </xf>
    <xf numFmtId="164" fontId="13" fillId="0" borderId="13" xfId="0" applyFont="true" applyBorder="true" applyAlignment="true" applyProtection="false">
      <alignment horizontal="left" vertical="center" textRotation="0" wrapText="false" indent="0" shrinkToFit="false"/>
      <protection locked="true" hidden="false"/>
    </xf>
    <xf numFmtId="164" fontId="13" fillId="0" borderId="0" xfId="21" applyFont="true" applyBorder="false" applyAlignment="true" applyProtection="false">
      <alignment horizontal="general" vertical="center" textRotation="0" wrapText="false" indent="0" shrinkToFit="false"/>
      <protection locked="true" hidden="false"/>
    </xf>
    <xf numFmtId="164" fontId="13" fillId="0" borderId="0" xfId="21" applyFont="true" applyBorder="false" applyAlignment="true" applyProtection="false">
      <alignment horizontal="general" vertical="center" textRotation="0" wrapText="true" indent="0" shrinkToFit="false"/>
      <protection locked="true" hidden="false"/>
    </xf>
    <xf numFmtId="164" fontId="13" fillId="0" borderId="0" xfId="21" applyFont="true" applyBorder="false" applyAlignment="true" applyProtection="false">
      <alignment horizontal="center" vertical="center" textRotation="0" wrapText="true" indent="0" shrinkToFit="false"/>
      <protection locked="true" hidden="false"/>
    </xf>
    <xf numFmtId="164" fontId="13" fillId="0" borderId="0" xfId="21" applyFont="true" applyBorder="false" applyAlignment="true" applyProtection="false">
      <alignment horizontal="center" vertical="center"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1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4" fontId="0" fillId="0" borderId="7" xfId="0" applyFont="true" applyBorder="true" applyAlignment="true" applyProtection="false">
      <alignment horizontal="center" vertical="bottom" textRotation="0" wrapText="true" indent="0" shrinkToFit="false"/>
      <protection locked="true" hidden="false"/>
    </xf>
    <xf numFmtId="164" fontId="0" fillId="0" borderId="9" xfId="0" applyFont="true" applyBorder="true" applyAlignment="true" applyProtection="false">
      <alignment horizontal="center" vertical="bottom" textRotation="0" wrapText="true" indent="0" shrinkToFit="false"/>
      <protection locked="true" hidden="false"/>
    </xf>
    <xf numFmtId="164" fontId="11" fillId="0" borderId="0" xfId="0" applyFont="true" applyBorder="true" applyAlignment="true" applyProtection="false">
      <alignment horizontal="center" vertical="bottom" textRotation="0" wrapText="true" indent="0" shrinkToFit="false"/>
      <protection locked="true" hidden="false"/>
    </xf>
    <xf numFmtId="164" fontId="11" fillId="0" borderId="9"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4" fontId="8" fillId="0" borderId="14" xfId="0" applyFont="true" applyBorder="true" applyAlignment="true" applyProtection="false">
      <alignment horizontal="general" vertical="bottom" textRotation="0" wrapText="false" indent="0" shrinkToFit="false"/>
      <protection locked="true" hidden="false"/>
    </xf>
    <xf numFmtId="164" fontId="7" fillId="0" borderId="15" xfId="20" applyFont="false" applyBorder="true" applyAlignment="true" applyProtection="true">
      <alignment horizontal="left"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center" vertical="bottom" textRotation="0" wrapText="true" indent="0" shrinkToFit="false"/>
      <protection locked="true" hidden="false"/>
    </xf>
    <xf numFmtId="164" fontId="10" fillId="0" borderId="0" xfId="0" applyFont="true" applyBorder="true" applyAlignment="true" applyProtection="false">
      <alignment horizontal="center" vertical="bottom"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19" fillId="0" borderId="14" xfId="0" applyFont="true" applyBorder="true" applyAlignment="true" applyProtection="false">
      <alignment horizontal="left" vertical="center" textRotation="0" wrapText="true" indent="0" shrinkToFit="false"/>
      <protection locked="true" hidden="false"/>
    </xf>
    <xf numFmtId="164" fontId="19" fillId="0" borderId="15" xfId="0" applyFont="true" applyBorder="true" applyAlignment="true" applyProtection="false">
      <alignment horizontal="center" vertical="bottom" textRotation="0" wrapText="true" indent="0" shrinkToFit="false"/>
      <protection locked="true" hidden="false"/>
    </xf>
    <xf numFmtId="164" fontId="20" fillId="0" borderId="0" xfId="0" applyFont="true" applyBorder="true" applyAlignment="true" applyProtection="false">
      <alignment horizontal="general" vertical="center" textRotation="0" wrapText="tru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1" fillId="0" borderId="0" xfId="0" applyFont="true" applyBorder="false" applyAlignment="true" applyProtection="false">
      <alignment horizontal="center" vertical="center" textRotation="0" wrapText="true" indent="0" shrinkToFit="false"/>
      <protection locked="true" hidden="false"/>
    </xf>
    <xf numFmtId="164" fontId="22" fillId="0" borderId="14" xfId="0" applyFont="true" applyBorder="true" applyAlignment="true" applyProtection="false">
      <alignment horizontal="left" vertical="center" textRotation="0" wrapText="true" indent="0" shrinkToFit="false"/>
      <protection locked="true" hidden="false"/>
    </xf>
    <xf numFmtId="164" fontId="22" fillId="0" borderId="15" xfId="0" applyFont="true" applyBorder="true" applyAlignment="true" applyProtection="false">
      <alignment horizontal="center" vertical="bottom" textRotation="0" wrapText="tru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22" fillId="0" borderId="0" xfId="0" applyFont="true" applyBorder="true" applyAlignment="true" applyProtection="false">
      <alignment horizontal="center" vertical="bottom" textRotation="0" wrapText="true" indent="0" shrinkToFit="false"/>
      <protection locked="true" hidden="false"/>
    </xf>
    <xf numFmtId="164" fontId="24" fillId="0" borderId="0" xfId="0" applyFont="true" applyBorder="true" applyAlignment="true" applyProtection="false">
      <alignment horizontal="center" vertical="center" textRotation="0" wrapText="true" indent="0" shrinkToFit="false"/>
      <protection locked="true" hidden="false"/>
    </xf>
    <xf numFmtId="164" fontId="25" fillId="0" borderId="0"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center" vertical="center" textRotation="0" wrapText="true" indent="0" shrinkToFit="false"/>
      <protection locked="true" hidden="false"/>
    </xf>
    <xf numFmtId="164" fontId="27"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right" vertical="center" textRotation="0" wrapText="false" indent="0" shrinkToFit="false"/>
      <protection locked="true" hidden="false"/>
    </xf>
    <xf numFmtId="164" fontId="0" fillId="0" borderId="14" xfId="0" applyFont="true" applyBorder="true" applyAlignment="true" applyProtection="false">
      <alignment horizontal="left" vertical="center" textRotation="0" wrapText="true" indent="0" shrinkToFit="false"/>
      <protection locked="true" hidden="false"/>
    </xf>
    <xf numFmtId="164" fontId="0" fillId="0" borderId="15" xfId="0" applyFont="true" applyBorder="true" applyAlignment="true" applyProtection="false">
      <alignment horizontal="center" vertical="bottom" textRotation="0" wrapText="true" indent="0" shrinkToFit="false"/>
      <protection locked="true" hidden="false"/>
    </xf>
    <xf numFmtId="164" fontId="0" fillId="3" borderId="0" xfId="0" applyFont="true" applyBorder="false" applyAlignment="true" applyProtection="false">
      <alignment horizontal="center" vertical="center" textRotation="0" wrapText="true" indent="0" shrinkToFit="false"/>
      <protection locked="true" hidden="false"/>
    </xf>
    <xf numFmtId="164" fontId="0" fillId="0" borderId="14" xfId="0" applyFont="true" applyBorder="true" applyAlignment="true" applyProtection="false">
      <alignment horizontal="general" vertical="center" textRotation="0" wrapText="true" indent="0" shrinkToFit="false"/>
      <protection locked="true" hidden="false"/>
    </xf>
    <xf numFmtId="164" fontId="25" fillId="0" borderId="15" xfId="0" applyFont="true" applyBorder="true" applyAlignment="true" applyProtection="false">
      <alignment horizontal="center" vertical="bottom" textRotation="0" wrapText="true" indent="0" shrinkToFit="false"/>
      <protection locked="true" hidden="false"/>
    </xf>
    <xf numFmtId="164" fontId="25" fillId="0" borderId="0" xfId="0" applyFont="true" applyBorder="true" applyAlignment="true" applyProtection="false">
      <alignment horizontal="center" vertical="bottom" textRotation="0" wrapText="true" indent="0" shrinkToFit="false"/>
      <protection locked="true" hidden="false"/>
    </xf>
    <xf numFmtId="164" fontId="24"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28" fillId="0" borderId="1" xfId="0" applyFont="true" applyBorder="true" applyAlignment="true" applyProtection="false">
      <alignment horizontal="general" vertical="center" textRotation="0" wrapText="true" indent="0" shrinkToFit="false"/>
      <protection locked="true" hidden="false"/>
    </xf>
    <xf numFmtId="164" fontId="28" fillId="0" borderId="13" xfId="0" applyFont="true" applyBorder="true" applyAlignment="true" applyProtection="false">
      <alignment horizontal="right" vertical="center" textRotation="0" wrapText="true" indent="0" shrinkToFit="false"/>
      <protection locked="true" hidden="false"/>
    </xf>
    <xf numFmtId="164" fontId="28" fillId="0" borderId="13" xfId="0" applyFont="true" applyBorder="true" applyAlignment="true" applyProtection="false">
      <alignment horizontal="general" vertical="center" textRotation="0" wrapText="true" indent="0" shrinkToFit="false"/>
      <protection locked="true" hidden="false"/>
    </xf>
    <xf numFmtId="164" fontId="24" fillId="0" borderId="1" xfId="0" applyFont="true" applyBorder="true" applyAlignment="true" applyProtection="false">
      <alignment horizontal="right" vertical="center" textRotation="0" wrapText="true" indent="0" shrinkToFit="false"/>
      <protection locked="true" hidden="false"/>
    </xf>
    <xf numFmtId="164" fontId="24" fillId="0" borderId="3" xfId="0" applyFont="true" applyBorder="true" applyAlignment="true" applyProtection="false">
      <alignment horizontal="general" vertical="center" textRotation="0" wrapText="true" indent="0" shrinkToFit="false"/>
      <protection locked="true" hidden="false"/>
    </xf>
    <xf numFmtId="164" fontId="26" fillId="0" borderId="13" xfId="0" applyFont="true" applyBorder="true" applyAlignment="true" applyProtection="false">
      <alignment horizontal="right" vertical="center" textRotation="0" wrapText="true" indent="0" shrinkToFit="false"/>
      <protection locked="true" hidden="false"/>
    </xf>
    <xf numFmtId="164" fontId="26" fillId="0" borderId="3" xfId="0" applyFont="true" applyBorder="true" applyAlignment="true" applyProtection="false">
      <alignment horizontal="general" vertical="center" textRotation="0" wrapText="true" indent="0" shrinkToFit="false"/>
      <protection locked="true" hidden="false"/>
    </xf>
    <xf numFmtId="164" fontId="8" fillId="0" borderId="13" xfId="0" applyFont="true" applyBorder="true" applyAlignment="true" applyProtection="false">
      <alignment horizontal="general" vertical="center" textRotation="0" wrapText="false" indent="0" shrinkToFit="false"/>
      <protection locked="true" hidden="false"/>
    </xf>
    <xf numFmtId="164" fontId="8" fillId="0" borderId="16" xfId="0" applyFont="true" applyBorder="true" applyAlignment="true" applyProtection="false">
      <alignment horizontal="center" vertical="center" textRotation="0" wrapText="true" indent="0" shrinkToFit="false"/>
      <protection locked="true" hidden="false"/>
    </xf>
    <xf numFmtId="164" fontId="23" fillId="0" borderId="17" xfId="0" applyFont="true" applyBorder="true" applyAlignment="true" applyProtection="false">
      <alignment horizontal="center" vertical="center" textRotation="0" wrapText="true" indent="0" shrinkToFit="false"/>
      <protection locked="true" hidden="false"/>
    </xf>
    <xf numFmtId="164" fontId="23" fillId="0" borderId="13" xfId="0" applyFont="true" applyBorder="true" applyAlignment="true" applyProtection="false">
      <alignment horizontal="center" vertical="center" textRotation="0" wrapText="true" indent="0" shrinkToFit="false"/>
      <protection locked="true" hidden="false"/>
    </xf>
    <xf numFmtId="164" fontId="8" fillId="0" borderId="10" xfId="0" applyFont="true" applyBorder="true" applyAlignment="true" applyProtection="false">
      <alignment horizontal="center" vertical="center" textRotation="0" wrapText="true" indent="0" shrinkToFit="false"/>
      <protection locked="true" hidden="false"/>
    </xf>
    <xf numFmtId="164" fontId="8" fillId="0" borderId="12" xfId="0" applyFont="true" applyBorder="true" applyAlignment="true" applyProtection="false">
      <alignment horizontal="center" vertical="center" textRotation="0" wrapText="true" indent="0" shrinkToFit="false"/>
      <protection locked="true" hidden="false"/>
    </xf>
    <xf numFmtId="164" fontId="10" fillId="0" borderId="17" xfId="0" applyFont="true" applyBorder="true" applyAlignment="true" applyProtection="false">
      <alignment horizontal="center" vertical="center" textRotation="0" wrapText="true" indent="0" shrinkToFit="false"/>
      <protection locked="true" hidden="false"/>
    </xf>
    <xf numFmtId="164" fontId="10" fillId="0" borderId="12" xfId="0" applyFont="true" applyBorder="true" applyAlignment="true" applyProtection="false">
      <alignment horizontal="center" vertical="center" textRotation="0" wrapText="true" indent="0" shrinkToFit="false"/>
      <protection locked="true" hidden="false"/>
    </xf>
    <xf numFmtId="164" fontId="8" fillId="0" borderId="13" xfId="0" applyFont="true" applyBorder="true" applyAlignment="true" applyProtection="false">
      <alignment horizontal="left" vertical="center" textRotation="0" wrapText="true" indent="0" shrinkToFit="false"/>
      <protection locked="true" hidden="false"/>
    </xf>
    <xf numFmtId="164" fontId="0" fillId="0" borderId="13" xfId="0" applyFont="true" applyBorder="true" applyAlignment="true" applyProtection="false">
      <alignment horizontal="left" vertical="center" textRotation="0" wrapText="true" indent="0" shrinkToFit="false"/>
      <protection locked="true" hidden="false"/>
    </xf>
    <xf numFmtId="164" fontId="0" fillId="0" borderId="13" xfId="0" applyFont="true" applyBorder="true" applyAlignment="true" applyProtection="false">
      <alignment horizontal="left" vertical="center" textRotation="0" wrapText="false" indent="0" shrinkToFit="false"/>
      <protection locked="true" hidden="false"/>
    </xf>
    <xf numFmtId="164" fontId="0" fillId="0" borderId="13" xfId="0" applyFont="true" applyBorder="true" applyAlignment="true" applyProtection="false">
      <alignment horizontal="left" vertical="center" textRotation="0" wrapText="false" indent="0" shrinkToFit="false"/>
      <protection locked="true" hidden="false"/>
    </xf>
    <xf numFmtId="164" fontId="0" fillId="4" borderId="0" xfId="21" applyFont="true" applyBorder="false" applyAlignment="true" applyProtection="false">
      <alignment horizontal="general" vertical="center" textRotation="0" wrapText="false" indent="0" shrinkToFit="false"/>
      <protection locked="true" hidden="false"/>
    </xf>
    <xf numFmtId="164" fontId="0" fillId="4" borderId="0" xfId="21" applyFont="true" applyBorder="false" applyAlignment="true" applyProtection="false">
      <alignment horizontal="general" vertical="center" textRotation="0" wrapText="true" indent="0" shrinkToFit="false"/>
      <protection locked="true" hidden="false"/>
    </xf>
    <xf numFmtId="164" fontId="0" fillId="4" borderId="14" xfId="21" applyFont="true" applyBorder="true" applyAlignment="true" applyProtection="false">
      <alignment horizontal="general" vertical="center" textRotation="0" wrapText="true" indent="0" shrinkToFit="false"/>
      <protection locked="true" hidden="false"/>
    </xf>
    <xf numFmtId="164" fontId="0" fillId="4" borderId="0" xfId="21" applyFont="true" applyBorder="false" applyAlignment="true" applyProtection="false">
      <alignment horizontal="center" vertical="bottom" textRotation="0" wrapText="true" indent="0" shrinkToFit="false"/>
      <protection locked="true" hidden="false"/>
    </xf>
    <xf numFmtId="164" fontId="0" fillId="4" borderId="0" xfId="21" applyFont="true" applyBorder="true" applyAlignment="true" applyProtection="false">
      <alignment horizontal="center" vertical="bottom" textRotation="0" wrapText="true" indent="0" shrinkToFit="false"/>
      <protection locked="true" hidden="false"/>
    </xf>
    <xf numFmtId="164" fontId="0" fillId="4" borderId="7" xfId="21" applyFont="true" applyBorder="true" applyAlignment="true" applyProtection="false">
      <alignment horizontal="center" vertical="bottom" textRotation="0" wrapText="true" indent="0" shrinkToFit="false"/>
      <protection locked="true" hidden="false"/>
    </xf>
    <xf numFmtId="164" fontId="0" fillId="4" borderId="9" xfId="21" applyFont="true" applyBorder="true" applyAlignment="true" applyProtection="false">
      <alignment horizontal="center" vertical="bottom" textRotation="0" wrapText="true" indent="0" shrinkToFit="false"/>
      <protection locked="true" hidden="false"/>
    </xf>
    <xf numFmtId="164" fontId="11" fillId="4" borderId="0" xfId="21" applyFont="true" applyBorder="true" applyAlignment="true" applyProtection="false">
      <alignment horizontal="center" vertical="bottom" textRotation="0" wrapText="true" indent="0" shrinkToFit="false"/>
      <protection locked="true" hidden="false"/>
    </xf>
    <xf numFmtId="164" fontId="11" fillId="4" borderId="9" xfId="21" applyFont="true" applyBorder="true" applyAlignment="true" applyProtection="false">
      <alignment horizontal="center" vertical="bottom" textRotation="0" wrapText="true" indent="0" shrinkToFit="false"/>
      <protection locked="true" hidden="false"/>
    </xf>
    <xf numFmtId="164" fontId="0" fillId="4" borderId="0" xfId="21" applyFont="true" applyBorder="false" applyAlignment="true" applyProtection="false">
      <alignment horizontal="general" vertical="bottom" textRotation="0" wrapText="true" indent="0" shrinkToFit="false"/>
      <protection locked="true" hidden="false"/>
    </xf>
    <xf numFmtId="164" fontId="0" fillId="4" borderId="0" xfId="21" applyFont="true" applyBorder="false" applyAlignment="true" applyProtection="false">
      <alignment horizontal="general" vertical="bottom" textRotation="0" wrapText="false" indent="0" shrinkToFit="false"/>
      <protection locked="true" hidden="false"/>
    </xf>
    <xf numFmtId="164" fontId="0" fillId="4" borderId="0" xfId="0" applyFont="true" applyBorder="false" applyAlignment="true" applyProtection="false">
      <alignment horizontal="general" vertical="bottom" textRotation="0" wrapText="false" indent="0" shrinkToFit="false"/>
      <protection locked="true" hidden="false"/>
    </xf>
    <xf numFmtId="164" fontId="0" fillId="0" borderId="0" xfId="21" applyFont="true" applyBorder="false" applyAlignment="true" applyProtection="false">
      <alignment horizontal="general" vertical="center" textRotation="0" wrapText="false" indent="0" shrinkToFit="false"/>
      <protection locked="true" hidden="false"/>
    </xf>
    <xf numFmtId="164" fontId="0" fillId="0" borderId="0" xfId="21" applyFont="true" applyBorder="false" applyAlignment="true" applyProtection="false">
      <alignment horizontal="general" vertical="center" textRotation="0" wrapText="true" indent="0" shrinkToFit="false"/>
      <protection locked="true" hidden="false"/>
    </xf>
    <xf numFmtId="164" fontId="0" fillId="0" borderId="14" xfId="21" applyFont="true" applyBorder="true" applyAlignment="true" applyProtection="false">
      <alignment horizontal="general" vertical="center" textRotation="0" wrapText="true" indent="0" shrinkToFit="false"/>
      <protection locked="true" hidden="false"/>
    </xf>
    <xf numFmtId="164" fontId="0" fillId="0" borderId="0" xfId="21" applyFont="true" applyBorder="false" applyAlignment="true" applyProtection="false">
      <alignment horizontal="center" vertical="bottom" textRotation="0" wrapText="true" indent="0" shrinkToFit="false"/>
      <protection locked="true" hidden="false"/>
    </xf>
    <xf numFmtId="164" fontId="0" fillId="0" borderId="0" xfId="21" applyFont="true" applyBorder="true" applyAlignment="true" applyProtection="false">
      <alignment horizontal="center" vertical="bottom" textRotation="0" wrapText="true" indent="0" shrinkToFit="false"/>
      <protection locked="true" hidden="false"/>
    </xf>
    <xf numFmtId="164" fontId="0" fillId="0" borderId="7" xfId="21" applyFont="true" applyBorder="true" applyAlignment="true" applyProtection="false">
      <alignment horizontal="center" vertical="bottom" textRotation="0" wrapText="true" indent="0" shrinkToFit="false"/>
      <protection locked="true" hidden="false"/>
    </xf>
    <xf numFmtId="164" fontId="0" fillId="0" borderId="9" xfId="21" applyFont="true" applyBorder="true" applyAlignment="true" applyProtection="false">
      <alignment horizontal="center" vertical="bottom" textRotation="0" wrapText="true" indent="0" shrinkToFit="false"/>
      <protection locked="true" hidden="false"/>
    </xf>
    <xf numFmtId="164" fontId="11" fillId="0" borderId="0" xfId="21" applyFont="true" applyBorder="true" applyAlignment="true" applyProtection="false">
      <alignment horizontal="center" vertical="bottom" textRotation="0" wrapText="true" indent="0" shrinkToFit="false"/>
      <protection locked="true" hidden="false"/>
    </xf>
    <xf numFmtId="164" fontId="11" fillId="0" borderId="9" xfId="21" applyFont="true" applyBorder="true" applyAlignment="true" applyProtection="false">
      <alignment horizontal="center" vertical="bottom" textRotation="0" wrapText="true" indent="0" shrinkToFit="false"/>
      <protection locked="true" hidden="false"/>
    </xf>
    <xf numFmtId="164" fontId="0" fillId="0" borderId="0" xfId="21" applyFont="true" applyBorder="false" applyAlignment="true" applyProtection="false">
      <alignment horizontal="general" vertical="bottom" textRotation="0" wrapText="true" indent="0" shrinkToFit="false"/>
      <protection locked="true" hidden="false"/>
    </xf>
    <xf numFmtId="164" fontId="0" fillId="0" borderId="0" xfId="21"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29" fillId="0" borderId="0" xfId="21" applyFont="true" applyBorder="false" applyAlignment="true" applyProtection="false">
      <alignment horizontal="general" vertical="center" textRotation="0" wrapText="false" indent="0" shrinkToFit="false"/>
      <protection locked="true" hidden="false"/>
    </xf>
    <xf numFmtId="164" fontId="29" fillId="0" borderId="0" xfId="21" applyFont="true" applyBorder="false" applyAlignment="true" applyProtection="false">
      <alignment horizontal="general" vertical="center" textRotation="0" wrapText="true" indent="0" shrinkToFit="false"/>
      <protection locked="true" hidden="false"/>
    </xf>
    <xf numFmtId="164" fontId="29" fillId="0" borderId="14" xfId="21" applyFont="true" applyBorder="true" applyAlignment="true" applyProtection="false">
      <alignment horizontal="general" vertical="center" textRotation="0" wrapText="true" indent="0" shrinkToFit="false"/>
      <protection locked="true" hidden="false"/>
    </xf>
    <xf numFmtId="164" fontId="29" fillId="0" borderId="0" xfId="21" applyFont="true" applyBorder="false" applyAlignment="true" applyProtection="false">
      <alignment horizontal="center" vertical="center" textRotation="0" wrapText="true" indent="0" shrinkToFit="false"/>
      <protection locked="true" hidden="false"/>
    </xf>
    <xf numFmtId="164" fontId="29" fillId="0" borderId="0" xfId="21" applyFont="true" applyBorder="true" applyAlignment="true" applyProtection="false">
      <alignment horizontal="center" vertical="center" textRotation="0" wrapText="true" indent="0" shrinkToFit="false"/>
      <protection locked="true" hidden="false"/>
    </xf>
    <xf numFmtId="164" fontId="29" fillId="0" borderId="7" xfId="21" applyFont="true" applyBorder="true" applyAlignment="true" applyProtection="false">
      <alignment horizontal="center" vertical="center" textRotation="0" wrapText="true" indent="0" shrinkToFit="false"/>
      <protection locked="true" hidden="false"/>
    </xf>
    <xf numFmtId="164" fontId="29" fillId="0" borderId="9" xfId="21" applyFont="true" applyBorder="true" applyAlignment="true" applyProtection="false">
      <alignment horizontal="center" vertical="center" textRotation="0" wrapText="true" indent="0" shrinkToFit="false"/>
      <protection locked="true" hidden="false"/>
    </xf>
    <xf numFmtId="164" fontId="11" fillId="0" borderId="0" xfId="21" applyFont="true" applyBorder="true" applyAlignment="true" applyProtection="false">
      <alignment horizontal="center" vertical="center" textRotation="0" wrapText="true" indent="0" shrinkToFit="false"/>
      <protection locked="true" hidden="false"/>
    </xf>
    <xf numFmtId="164" fontId="11" fillId="0" borderId="9" xfId="21" applyFont="true" applyBorder="true" applyAlignment="true" applyProtection="false">
      <alignment horizontal="center" vertical="center" textRotation="0" wrapText="tru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0" fillId="4" borderId="0" xfId="21" applyFont="true" applyBorder="false" applyAlignment="true" applyProtection="false">
      <alignment horizontal="center" vertical="center" textRotation="0" wrapText="true" indent="0" shrinkToFit="false"/>
      <protection locked="true" hidden="false"/>
    </xf>
    <xf numFmtId="164" fontId="0" fillId="4" borderId="0" xfId="21" applyFont="true" applyBorder="true" applyAlignment="true" applyProtection="false">
      <alignment horizontal="center" vertical="center" textRotation="0" wrapText="true" indent="0" shrinkToFit="false"/>
      <protection locked="true" hidden="false"/>
    </xf>
    <xf numFmtId="164" fontId="0" fillId="4" borderId="7" xfId="21" applyFont="true" applyBorder="true" applyAlignment="true" applyProtection="false">
      <alignment horizontal="center" vertical="center" textRotation="0" wrapText="true" indent="0" shrinkToFit="false"/>
      <protection locked="true" hidden="false"/>
    </xf>
    <xf numFmtId="164" fontId="0" fillId="4" borderId="9" xfId="21" applyFont="true" applyBorder="true" applyAlignment="true" applyProtection="false">
      <alignment horizontal="center" vertical="center" textRotation="0" wrapText="true" indent="0" shrinkToFit="false"/>
      <protection locked="true" hidden="false"/>
    </xf>
    <xf numFmtId="164" fontId="11" fillId="4" borderId="0" xfId="21" applyFont="true" applyBorder="true" applyAlignment="true" applyProtection="false">
      <alignment horizontal="center" vertical="center" textRotation="0" wrapText="true" indent="0" shrinkToFit="false"/>
      <protection locked="true" hidden="false"/>
    </xf>
    <xf numFmtId="164" fontId="11" fillId="4" borderId="9" xfId="21" applyFont="true" applyBorder="true" applyAlignment="true" applyProtection="false">
      <alignment horizontal="center"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false" indent="0" shrinkToFit="false"/>
      <protection locked="true" hidden="false"/>
    </xf>
    <xf numFmtId="164" fontId="21" fillId="0" borderId="0" xfId="21" applyFont="true" applyBorder="false" applyAlignment="true" applyProtection="false">
      <alignment horizontal="center" vertical="bottom" textRotation="0" wrapText="false" indent="0" shrinkToFit="false"/>
      <protection locked="true" hidden="false"/>
    </xf>
    <xf numFmtId="164" fontId="21" fillId="0" borderId="0" xfId="21" applyFont="true" applyBorder="false" applyAlignment="true" applyProtection="false">
      <alignment horizontal="general" vertical="bottom" textRotation="0" wrapText="true" indent="0" shrinkToFit="false"/>
      <protection locked="true" hidden="false"/>
    </xf>
    <xf numFmtId="164" fontId="21" fillId="0" borderId="7" xfId="21" applyFont="true" applyBorder="true" applyAlignment="true" applyProtection="false">
      <alignment horizontal="center" vertical="bottom" textRotation="0" wrapText="true" indent="0" shrinkToFit="false"/>
      <protection locked="true" hidden="false"/>
    </xf>
    <xf numFmtId="164" fontId="21" fillId="0" borderId="9" xfId="21" applyFont="true" applyBorder="true" applyAlignment="true" applyProtection="false">
      <alignment horizontal="center" vertical="bottom" textRotation="0" wrapText="true" indent="0" shrinkToFit="false"/>
      <protection locked="true" hidden="false"/>
    </xf>
    <xf numFmtId="164" fontId="30" fillId="0" borderId="0" xfId="21" applyFont="true" applyBorder="true" applyAlignment="true" applyProtection="false">
      <alignment horizontal="center" vertical="bottom" textRotation="0" wrapText="true" indent="0" shrinkToFit="false"/>
      <protection locked="true" hidden="false"/>
    </xf>
    <xf numFmtId="164" fontId="30" fillId="0" borderId="9" xfId="21" applyFont="true" applyBorder="true" applyAlignment="true" applyProtection="false">
      <alignment horizontal="center" vertical="bottom" textRotation="0" wrapText="true" indent="0" shrinkToFit="false"/>
      <protection locked="true" hidden="false"/>
    </xf>
    <xf numFmtId="164" fontId="0" fillId="0" borderId="0" xfId="21"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21" fillId="0" borderId="0" xfId="21" applyFont="true" applyBorder="false" applyAlignment="true" applyProtection="false">
      <alignment horizontal="general" vertical="bottom" textRotation="0" wrapText="false" indent="0" shrinkToFit="false"/>
      <protection locked="true" hidden="false"/>
    </xf>
    <xf numFmtId="164" fontId="0" fillId="2" borderId="0" xfId="0" applyFont="false" applyBorder="true" applyAlignment="false" applyProtection="false">
      <alignment horizontal="general" vertical="bottom" textRotation="0" wrapText="false" indent="0" shrinkToFit="false"/>
      <protection locked="true" hidden="false"/>
    </xf>
    <xf numFmtId="164" fontId="0" fillId="2" borderId="0" xfId="0" applyFont="false" applyBorder="true" applyAlignment="true" applyProtection="false">
      <alignment horizontal="center" vertical="bottom" textRotation="0" wrapText="false" indent="0" shrinkToFit="false"/>
      <protection locked="true" hidden="false"/>
    </xf>
    <xf numFmtId="164" fontId="0" fillId="2" borderId="0" xfId="0" applyFont="false" applyBorder="true" applyAlignment="true" applyProtection="false">
      <alignment horizontal="general" vertical="bottom" textRotation="0" wrapText="true" indent="0" shrinkToFit="false"/>
      <protection locked="true" hidden="false"/>
    </xf>
    <xf numFmtId="164" fontId="6" fillId="2" borderId="0" xfId="0" applyFont="true" applyBorder="true" applyAlignment="false" applyProtection="false">
      <alignment horizontal="general" vertical="bottom" textRotation="0" wrapText="false" indent="0" shrinkToFit="false"/>
      <protection locked="true" hidden="false"/>
    </xf>
    <xf numFmtId="164" fontId="8" fillId="2" borderId="1" xfId="0" applyFont="true" applyBorder="true" applyAlignment="true" applyProtection="false">
      <alignment horizontal="general" vertical="center" textRotation="0" wrapText="true" indent="0" shrinkToFit="false"/>
      <protection locked="true" hidden="false"/>
    </xf>
    <xf numFmtId="164" fontId="8" fillId="2" borderId="2" xfId="0" applyFont="true" applyBorder="true" applyAlignment="true" applyProtection="false">
      <alignment horizontal="center" vertical="center" textRotation="0" wrapText="true" indent="0" shrinkToFit="false"/>
      <protection locked="true" hidden="false"/>
    </xf>
    <xf numFmtId="164" fontId="8" fillId="2" borderId="13" xfId="0" applyFont="true" applyBorder="true" applyAlignment="true" applyProtection="false">
      <alignment horizontal="general" vertical="center" textRotation="0" wrapText="true" indent="0" shrinkToFit="false"/>
      <protection locked="true" hidden="false"/>
    </xf>
    <xf numFmtId="164" fontId="10" fillId="2" borderId="5" xfId="0" applyFont="true" applyBorder="true" applyAlignment="true" applyProtection="false">
      <alignment horizontal="center" vertical="center" textRotation="0" wrapText="true" indent="0" shrinkToFit="false"/>
      <protection locked="true" hidden="false"/>
    </xf>
    <xf numFmtId="164" fontId="0" fillId="2" borderId="7" xfId="0" applyFont="true" applyBorder="true" applyAlignment="true" applyProtection="false">
      <alignment horizontal="general" vertical="center" textRotation="0" wrapText="true" indent="0" shrinkToFit="false"/>
      <protection locked="true" hidden="false"/>
    </xf>
    <xf numFmtId="164" fontId="0" fillId="2" borderId="8" xfId="0" applyFont="true" applyBorder="true" applyAlignment="true" applyProtection="false">
      <alignment horizontal="center" vertical="center" textRotation="0" wrapText="true" indent="0" shrinkToFit="false"/>
      <protection locked="true" hidden="false"/>
    </xf>
    <xf numFmtId="164" fontId="0" fillId="2" borderId="0" xfId="0" applyFont="true" applyBorder="true" applyAlignment="true" applyProtection="false">
      <alignment horizontal="general" vertical="center" textRotation="0" wrapText="true" indent="0" shrinkToFit="false"/>
      <protection locked="true" hidden="false"/>
    </xf>
    <xf numFmtId="164" fontId="0" fillId="2" borderId="4" xfId="0" applyFont="true" applyBorder="true" applyAlignment="true" applyProtection="false">
      <alignment horizontal="center" vertical="bottom" textRotation="0" wrapText="false" indent="0" shrinkToFit="false"/>
      <protection locked="true" hidden="false"/>
    </xf>
    <xf numFmtId="164" fontId="11" fillId="2" borderId="5" xfId="0" applyFont="true" applyBorder="true" applyAlignment="true" applyProtection="false">
      <alignment horizontal="center" vertical="bottom" textRotation="0" wrapText="true" indent="0" shrinkToFit="false"/>
      <protection locked="true" hidden="false"/>
    </xf>
    <xf numFmtId="164" fontId="0" fillId="2" borderId="7" xfId="0" applyFont="false" applyBorder="true" applyAlignment="false" applyProtection="false">
      <alignment horizontal="general" vertical="bottom" textRotation="0" wrapText="false" indent="0" shrinkToFit="false"/>
      <protection locked="true" hidden="false"/>
    </xf>
    <xf numFmtId="164" fontId="11" fillId="2" borderId="8" xfId="0" applyFont="true" applyBorder="true" applyAlignment="false" applyProtection="false">
      <alignment horizontal="general" vertical="bottom" textRotation="0" wrapText="false" indent="0" shrinkToFit="false"/>
      <protection locked="true" hidden="false"/>
    </xf>
    <xf numFmtId="164" fontId="0" fillId="2" borderId="7" xfId="0" applyFont="true" applyBorder="true" applyAlignment="true" applyProtection="false">
      <alignment horizontal="center" vertical="bottom" textRotation="0" wrapText="false" indent="0" shrinkToFit="false"/>
      <protection locked="true" hidden="false"/>
    </xf>
    <xf numFmtId="164" fontId="11" fillId="2" borderId="8" xfId="0" applyFont="true" applyBorder="true" applyAlignment="true" applyProtection="false">
      <alignment horizontal="center" vertical="bottom" textRotation="0" wrapText="true" indent="0" shrinkToFit="false"/>
      <protection locked="true" hidden="false"/>
    </xf>
    <xf numFmtId="164" fontId="0" fillId="2" borderId="10" xfId="0" applyFont="true" applyBorder="true" applyAlignment="true" applyProtection="false">
      <alignment horizontal="general" vertical="center" textRotation="0" wrapText="true" indent="0" shrinkToFit="false"/>
      <protection locked="true" hidden="false"/>
    </xf>
    <xf numFmtId="164" fontId="0" fillId="2" borderId="11" xfId="0" applyFont="true" applyBorder="true" applyAlignment="true" applyProtection="false">
      <alignment horizontal="center" vertical="center" textRotation="0" wrapText="true" indent="0" shrinkToFit="false"/>
      <protection locked="true" hidden="false"/>
    </xf>
    <xf numFmtId="164" fontId="0" fillId="2" borderId="17" xfId="0" applyFont="true" applyBorder="true" applyAlignment="true" applyProtection="false">
      <alignment horizontal="general" vertical="center" textRotation="0" wrapText="true" indent="0" shrinkToFit="false"/>
      <protection locked="true" hidden="false"/>
    </xf>
    <xf numFmtId="164" fontId="0" fillId="2" borderId="10" xfId="0" applyFont="false" applyBorder="true" applyAlignment="false" applyProtection="false">
      <alignment horizontal="general" vertical="bottom" textRotation="0" wrapText="false" indent="0" shrinkToFit="false"/>
      <protection locked="true" hidden="false"/>
    </xf>
    <xf numFmtId="164" fontId="11" fillId="2" borderId="11" xfId="0" applyFont="true" applyBorder="true" applyAlignment="false" applyProtection="false">
      <alignment horizontal="general" vertical="bottom" textRotation="0" wrapText="false" indent="0" shrinkToFit="false"/>
      <protection locked="true" hidden="false"/>
    </xf>
    <xf numFmtId="164" fontId="0" fillId="2" borderId="0" xfId="0" applyFont="true" applyBorder="false" applyAlignment="true" applyProtection="false">
      <alignment horizontal="left" vertical="bottom" textRotation="0" wrapText="true" indent="0" shrinkToFit="false"/>
      <protection locked="true" hidden="false"/>
    </xf>
    <xf numFmtId="164" fontId="0" fillId="2" borderId="0" xfId="0" applyFont="true" applyBorder="false" applyAlignment="true" applyProtection="false">
      <alignment horizontal="general" vertical="bottom" textRotation="0" wrapText="true" indent="0" shrinkToFit="false"/>
      <protection locked="true" hidden="false"/>
    </xf>
    <xf numFmtId="164" fontId="6" fillId="2" borderId="0" xfId="0" applyFont="true" applyBorder="false" applyAlignment="true" applyProtection="false">
      <alignment horizontal="left" vertical="bottom" textRotation="0" wrapText="true" indent="0" shrinkToFit="false"/>
      <protection locked="true" hidden="false"/>
    </xf>
    <xf numFmtId="164" fontId="8" fillId="2" borderId="4" xfId="0" applyFont="true" applyBorder="true" applyAlignment="true" applyProtection="false">
      <alignment horizontal="general" vertical="center" textRotation="0" wrapText="true" indent="0" shrinkToFit="false"/>
      <protection locked="true" hidden="false"/>
    </xf>
    <xf numFmtId="164" fontId="8" fillId="2" borderId="5" xfId="0" applyFont="true" applyBorder="true" applyAlignment="true" applyProtection="false">
      <alignment horizontal="general" vertical="center" textRotation="0" wrapText="true" indent="0" shrinkToFit="false"/>
      <protection locked="true" hidden="false"/>
    </xf>
    <xf numFmtId="164" fontId="8" fillId="2" borderId="2" xfId="0" applyFont="true" applyBorder="true" applyAlignment="true" applyProtection="false">
      <alignment horizontal="center" vertical="bottom" textRotation="0" wrapText="false" indent="0" shrinkToFit="false"/>
      <protection locked="true" hidden="false"/>
    </xf>
    <xf numFmtId="164" fontId="8" fillId="2" borderId="6" xfId="0" applyFont="true" applyBorder="true" applyAlignment="true" applyProtection="false">
      <alignment horizontal="center" vertical="bottom" textRotation="0" wrapText="false" indent="0" shrinkToFit="false"/>
      <protection locked="true" hidden="false"/>
    </xf>
    <xf numFmtId="164" fontId="8" fillId="2" borderId="7" xfId="0" applyFont="true" applyBorder="true" applyAlignment="true" applyProtection="false">
      <alignment horizontal="general" vertical="center" textRotation="0" wrapText="true" indent="0" shrinkToFit="false"/>
      <protection locked="true" hidden="false"/>
    </xf>
    <xf numFmtId="164" fontId="8" fillId="2" borderId="8" xfId="0" applyFont="true" applyBorder="true" applyAlignment="true" applyProtection="false">
      <alignment horizontal="general" vertical="center" textRotation="0" wrapText="true" indent="0" shrinkToFit="false"/>
      <protection locked="true" hidden="false"/>
    </xf>
    <xf numFmtId="164" fontId="8" fillId="2" borderId="5" xfId="0" applyFont="true" applyBorder="true" applyAlignment="true" applyProtection="false">
      <alignment horizontal="center" vertical="bottom" textRotation="0" wrapText="false" indent="0" shrinkToFit="false"/>
      <protection locked="true" hidden="false"/>
    </xf>
    <xf numFmtId="164" fontId="8" fillId="2" borderId="8" xfId="0" applyFont="true" applyBorder="true" applyAlignment="true" applyProtection="false">
      <alignment horizontal="center" vertical="bottom" textRotation="0" wrapText="false" indent="0" shrinkToFit="false"/>
      <protection locked="true" hidden="false"/>
    </xf>
    <xf numFmtId="164" fontId="8" fillId="2" borderId="9" xfId="0" applyFont="true" applyBorder="true" applyAlignment="true" applyProtection="false">
      <alignment horizontal="center" vertical="bottom" textRotation="0" wrapText="false" indent="0" shrinkToFit="false"/>
      <protection locked="true" hidden="false"/>
    </xf>
    <xf numFmtId="164" fontId="0" fillId="2" borderId="5" xfId="0" applyFont="true" applyBorder="true" applyAlignment="true" applyProtection="false">
      <alignment horizontal="general" vertical="center" textRotation="0" wrapText="true" indent="0" shrinkToFit="false"/>
      <protection locked="true" hidden="false"/>
    </xf>
    <xf numFmtId="164" fontId="0" fillId="2" borderId="5" xfId="0" applyFont="true" applyBorder="true" applyAlignment="true" applyProtection="false">
      <alignment horizontal="center" vertical="center" textRotation="0" wrapText="false" indent="0" shrinkToFit="false"/>
      <protection locked="true" hidden="false"/>
    </xf>
    <xf numFmtId="164" fontId="32" fillId="2" borderId="5" xfId="0" applyFont="true" applyBorder="true" applyAlignment="true" applyProtection="false">
      <alignment horizontal="center" vertical="bottom" textRotation="0" wrapText="false" indent="0" shrinkToFit="false"/>
      <protection locked="true" hidden="false"/>
    </xf>
    <xf numFmtId="164" fontId="0" fillId="2" borderId="11" xfId="0" applyFont="true" applyBorder="true" applyAlignment="true" applyProtection="false">
      <alignment horizontal="general" vertical="center" textRotation="0" wrapText="true" indent="0" shrinkToFit="false"/>
      <protection locked="true" hidden="false"/>
    </xf>
    <xf numFmtId="164" fontId="8" fillId="2" borderId="2" xfId="0" applyFont="true" applyBorder="true" applyAlignment="true" applyProtection="false">
      <alignment horizontal="general" vertical="center" textRotation="0" wrapText="true" indent="0" shrinkToFit="false"/>
      <protection locked="true" hidden="false"/>
    </xf>
    <xf numFmtId="164" fontId="0" fillId="2" borderId="2" xfId="0" applyFont="true" applyBorder="true" applyAlignment="true" applyProtection="false">
      <alignment horizontal="general" vertical="center" textRotation="0" wrapText="true" indent="0" shrinkToFit="false"/>
      <protection locked="true" hidden="false"/>
    </xf>
    <xf numFmtId="164" fontId="0" fillId="2" borderId="2"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2" borderId="0" xfId="0" applyFont="true" applyBorder="false" applyAlignment="true" applyProtection="false">
      <alignment horizontal="general" vertical="center" textRotation="0" wrapText="false" indent="0" shrinkToFit="false"/>
      <protection locked="true" hidden="false"/>
    </xf>
    <xf numFmtId="164" fontId="7" fillId="2" borderId="0" xfId="20" applyFont="true" applyBorder="true" applyAlignment="true" applyProtection="true">
      <alignment horizontal="left" vertical="bottom" textRotation="0" wrapText="tru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4" fontId="21" fillId="2" borderId="0" xfId="0" applyFont="true" applyBorder="false" applyAlignment="true" applyProtection="false">
      <alignment horizontal="left" vertical="bottom" textRotation="0" wrapText="false" indent="0" shrinkToFit="false"/>
      <protection locked="true" hidden="false"/>
    </xf>
    <xf numFmtId="164" fontId="5" fillId="2" borderId="0" xfId="22" applyFont="false" applyBorder="false" applyAlignment="false" applyProtection="false">
      <alignment horizontal="general" vertical="bottom" textRotation="0" wrapText="false" indent="0" shrinkToFit="false"/>
      <protection locked="true" hidden="false"/>
    </xf>
    <xf numFmtId="164" fontId="12" fillId="2" borderId="0" xfId="0" applyFont="true" applyBorder="true" applyAlignment="false" applyProtection="false">
      <alignment horizontal="general" vertical="bottom" textRotation="0" wrapText="false" indent="0" shrinkToFit="false"/>
      <protection locked="true" hidden="false"/>
    </xf>
    <xf numFmtId="164" fontId="12" fillId="2" borderId="0" xfId="20" applyFont="true" applyBorder="true" applyAlignment="true" applyProtection="true">
      <alignment horizontal="general" vertical="center" textRotation="0" wrapText="false" indent="0" shrinkToFit="false"/>
      <protection locked="true" hidden="false"/>
    </xf>
    <xf numFmtId="164" fontId="7" fillId="0" borderId="0" xfId="20" applyFont="true" applyBorder="true" applyAlignment="true" applyProtection="true">
      <alignment horizontal="general" vertical="bottom" textRotation="0" wrapText="false" indent="0" shrinkToFit="false"/>
      <protection locked="true" hidden="false"/>
    </xf>
    <xf numFmtId="164" fontId="6" fillId="2" borderId="0" xfId="22" applyFont="true" applyBorder="false" applyAlignment="false" applyProtection="false">
      <alignment horizontal="general" vertical="bottom" textRotation="0" wrapText="false" indent="0" shrinkToFit="false"/>
      <protection locked="true" hidden="false"/>
    </xf>
    <xf numFmtId="164" fontId="33" fillId="2" borderId="18" xfId="0" applyFont="true" applyBorder="true" applyAlignment="false" applyProtection="false">
      <alignment horizontal="general" vertical="bottom" textRotation="0" wrapText="false" indent="0" shrinkToFit="false"/>
      <protection locked="true" hidden="false"/>
    </xf>
    <xf numFmtId="164" fontId="33" fillId="2" borderId="18" xfId="0" applyFont="true" applyBorder="true" applyAlignment="true" applyProtection="false">
      <alignment horizontal="center" vertical="bottom" textRotation="0" wrapText="false" indent="0" shrinkToFit="false"/>
      <protection locked="true" hidden="false"/>
    </xf>
    <xf numFmtId="164" fontId="21" fillId="2" borderId="19" xfId="0" applyFont="true" applyBorder="true" applyAlignment="false" applyProtection="false">
      <alignment horizontal="general" vertical="bottom" textRotation="0" wrapText="false" indent="0" shrinkToFit="false"/>
      <protection locked="true" hidden="false"/>
    </xf>
    <xf numFmtId="164" fontId="0" fillId="2" borderId="0" xfId="22" applyFont="true" applyBorder="false" applyAlignment="false" applyProtection="false">
      <alignment horizontal="general" vertical="bottom" textRotation="0" wrapText="false" indent="0" shrinkToFit="false"/>
      <protection locked="true" hidden="false"/>
    </xf>
    <xf numFmtId="164" fontId="0" fillId="2" borderId="20" xfId="0" applyFont="true" applyBorder="true" applyAlignment="true" applyProtection="false">
      <alignment horizontal="general" vertical="bottom" textRotation="0" wrapText="true" indent="0" shrinkToFit="false"/>
      <protection locked="true" hidden="false"/>
    </xf>
    <xf numFmtId="164" fontId="0" fillId="2" borderId="21" xfId="0" applyFont="true" applyBorder="true" applyAlignment="true" applyProtection="false">
      <alignment horizontal="general" vertical="bottom" textRotation="0" wrapText="false" indent="0" shrinkToFit="false"/>
      <protection locked="true" hidden="false"/>
    </xf>
    <xf numFmtId="164" fontId="0" fillId="2" borderId="22" xfId="0" applyFont="true" applyBorder="true" applyAlignment="false" applyProtection="false">
      <alignment horizontal="general" vertical="bottom" textRotation="0" wrapText="false" indent="0" shrinkToFit="false"/>
      <protection locked="true" hidden="false"/>
    </xf>
    <xf numFmtId="164" fontId="0" fillId="2" borderId="0" xfId="0" applyFont="true" applyBorder="true" applyAlignment="false" applyProtection="false">
      <alignment horizontal="general" vertical="bottom" textRotation="0" wrapText="false" indent="0" shrinkToFit="false"/>
      <protection locked="true" hidden="false"/>
    </xf>
    <xf numFmtId="164" fontId="0" fillId="2" borderId="23" xfId="0" applyFont="true" applyBorder="true" applyAlignment="false" applyProtection="false">
      <alignment horizontal="general" vertical="bottom" textRotation="0" wrapText="false" indent="0" shrinkToFit="false"/>
      <protection locked="true" hidden="false"/>
    </xf>
    <xf numFmtId="164" fontId="0" fillId="2" borderId="24" xfId="0" applyFont="true" applyBorder="true" applyAlignment="false" applyProtection="false">
      <alignment horizontal="general" vertical="bottom" textRotation="0" wrapText="false" indent="0" shrinkToFit="false"/>
      <protection locked="true" hidden="false"/>
    </xf>
    <xf numFmtId="164" fontId="0" fillId="2" borderId="25" xfId="0" applyFont="true" applyBorder="true" applyAlignment="false" applyProtection="false">
      <alignment horizontal="general" vertical="bottom" textRotation="0" wrapText="false" indent="0" shrinkToFit="false"/>
      <protection locked="true" hidden="false"/>
    </xf>
    <xf numFmtId="164" fontId="7" fillId="2" borderId="20" xfId="20" applyFont="true" applyBorder="true" applyAlignment="true" applyProtection="true">
      <alignment horizontal="general" vertical="center" textRotation="0" wrapText="false" indent="0" shrinkToFit="false"/>
      <protection locked="true" hidden="false"/>
    </xf>
    <xf numFmtId="164" fontId="0" fillId="0" borderId="21" xfId="0" applyFont="true" applyBorder="true" applyAlignment="true" applyProtection="false">
      <alignment horizontal="general" vertical="center" textRotation="0" wrapText="false" indent="0" shrinkToFit="false"/>
      <protection locked="true" hidden="false"/>
    </xf>
    <xf numFmtId="164" fontId="33" fillId="2" borderId="22" xfId="0" applyFont="true" applyBorder="true" applyAlignment="true" applyProtection="false">
      <alignment horizontal="center" vertical="bottom" textRotation="0" wrapText="false" indent="0" shrinkToFit="false"/>
      <protection locked="true" hidden="false"/>
    </xf>
    <xf numFmtId="164" fontId="0" fillId="2" borderId="23" xfId="0" applyFont="false" applyBorder="true" applyAlignment="false" applyProtection="false">
      <alignment horizontal="general" vertical="bottom" textRotation="0" wrapText="false" indent="0" shrinkToFit="false"/>
      <protection locked="true" hidden="false"/>
    </xf>
    <xf numFmtId="164" fontId="0" fillId="2" borderId="24" xfId="0" applyFont="true" applyBorder="true" applyAlignment="true" applyProtection="false">
      <alignment horizontal="general" vertical="bottom" textRotation="0" wrapText="false" indent="0" shrinkToFit="false"/>
      <protection locked="true" hidden="false"/>
    </xf>
    <xf numFmtId="164" fontId="0" fillId="2" borderId="25" xfId="0" applyFont="false" applyBorder="tru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general" vertical="center" textRotation="0" wrapText="true" indent="0" shrinkToFit="false"/>
      <protection locked="true" hidden="false"/>
    </xf>
    <xf numFmtId="164" fontId="0" fillId="2" borderId="0" xfId="0" applyFont="false" applyBorder="false" applyAlignment="true" applyProtection="false">
      <alignment horizontal="left" vertical="center" textRotation="0" wrapText="true" indent="0" shrinkToFit="false"/>
      <protection locked="true" hidden="false"/>
    </xf>
    <xf numFmtId="164" fontId="0" fillId="2" borderId="0" xfId="0" applyFont="false" applyBorder="false" applyAlignment="true" applyProtection="false">
      <alignment horizontal="left" vertical="bottom" textRotation="0" wrapText="true" indent="0" shrinkToFit="false"/>
      <protection locked="true" hidden="false"/>
    </xf>
    <xf numFmtId="164" fontId="0" fillId="2" borderId="20" xfId="0" applyFont="true" applyBorder="true" applyAlignment="true" applyProtection="false">
      <alignment horizontal="general" vertical="bottom" textRotation="0" wrapText="false" indent="0" shrinkToFit="false"/>
      <protection locked="true" hidden="false"/>
    </xf>
    <xf numFmtId="164" fontId="0" fillId="5" borderId="0" xfId="0" applyFont="true" applyBorder="fals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7" fillId="2" borderId="21" xfId="20" applyFont="true" applyBorder="true" applyAlignment="true" applyProtection="true">
      <alignment horizontal="general" vertical="center" textRotation="0" wrapText="false" indent="0" shrinkToFit="false"/>
      <protection locked="true" hidden="false"/>
    </xf>
    <xf numFmtId="164" fontId="0" fillId="2" borderId="21" xfId="0" applyFont="true" applyBorder="true" applyAlignment="true" applyProtection="false">
      <alignment horizontal="general" vertical="center" textRotation="0" wrapText="false" indent="0" shrinkToFit="false"/>
      <protection locked="true" hidden="false"/>
    </xf>
    <xf numFmtId="164" fontId="0" fillId="2" borderId="22"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64" fontId="0" fillId="6" borderId="0" xfId="0" applyFont="false" applyBorder="false" applyAlignment="true" applyProtection="false">
      <alignment horizontal="left" vertical="bottom" textRotation="0" wrapText="true" indent="0" shrinkToFit="false"/>
      <protection locked="true" hidden="false"/>
    </xf>
    <xf numFmtId="164" fontId="0" fillId="2" borderId="24" xfId="0" applyFont="false" applyBorder="true" applyAlignment="false" applyProtection="false">
      <alignment horizontal="general" vertical="bottom" textRotation="0" wrapText="fals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34" fillId="2" borderId="0" xfId="20" applyFont="true" applyBorder="true" applyAlignment="true" applyProtection="true">
      <alignment horizontal="general" vertical="bottom" textRotation="0" wrapText="false" indent="0" shrinkToFit="false"/>
      <protection locked="true" hidden="false"/>
    </xf>
    <xf numFmtId="164" fontId="7" fillId="0" borderId="0" xfId="20" applyFont="false" applyBorder="true" applyAlignment="true" applyProtection="true">
      <alignment horizontal="left" vertical="bottom" textRotation="0" wrapText="false" indent="0" shrinkToFit="false"/>
      <protection locked="true" hidden="false"/>
    </xf>
    <xf numFmtId="164" fontId="8" fillId="2" borderId="0" xfId="0" applyFont="true" applyBorder="false" applyAlignment="true" applyProtection="false">
      <alignment horizontal="justify" vertical="center" textRotation="0" wrapText="true" indent="0" shrinkToFit="false"/>
      <protection locked="true" hidden="false"/>
    </xf>
    <xf numFmtId="164" fontId="8" fillId="2" borderId="0" xfId="0" applyFont="true" applyBorder="true" applyAlignment="true" applyProtection="false">
      <alignment horizontal="center" vertical="bottom" textRotation="0" wrapText="false" indent="0" shrinkToFit="false"/>
      <protection locked="true" hidden="false"/>
    </xf>
    <xf numFmtId="164" fontId="8" fillId="2" borderId="5" xfId="0" applyFont="true" applyBorder="true" applyAlignment="true" applyProtection="false">
      <alignment horizontal="center" vertical="center" textRotation="0" wrapText="true" indent="0" shrinkToFit="false"/>
      <protection locked="true" hidden="false"/>
    </xf>
    <xf numFmtId="164" fontId="8" fillId="2" borderId="26" xfId="0" applyFont="true" applyBorder="true" applyAlignment="true" applyProtection="false">
      <alignment horizontal="center" vertical="center" textRotation="0" wrapText="true" indent="0" shrinkToFit="false"/>
      <protection locked="true" hidden="false"/>
    </xf>
    <xf numFmtId="164" fontId="8" fillId="2" borderId="27" xfId="0" applyFont="true" applyBorder="true" applyAlignment="true" applyProtection="false">
      <alignment horizontal="center" vertical="center" textRotation="0" wrapText="true" indent="0" shrinkToFit="false"/>
      <protection locked="true" hidden="false"/>
    </xf>
    <xf numFmtId="164" fontId="8" fillId="2" borderId="19" xfId="0" applyFont="true" applyBorder="true" applyAlignment="true" applyProtection="false">
      <alignment horizontal="center" vertical="bottom" textRotation="0" wrapText="false" indent="0" shrinkToFit="false"/>
      <protection locked="true" hidden="false"/>
    </xf>
    <xf numFmtId="164" fontId="8" fillId="2" borderId="28" xfId="0" applyFont="true" applyBorder="true" applyAlignment="true" applyProtection="false">
      <alignment horizontal="center" vertical="bottom" textRotation="0" wrapText="false" indent="0" shrinkToFit="false"/>
      <protection locked="true" hidden="false"/>
    </xf>
    <xf numFmtId="164" fontId="8" fillId="2" borderId="0" xfId="0" applyFont="true" applyBorder="true" applyAlignment="true" applyProtection="false">
      <alignment horizontal="center" vertical="center" textRotation="0" wrapText="true" indent="0" shrinkToFit="false"/>
      <protection locked="true" hidden="false"/>
    </xf>
    <xf numFmtId="164" fontId="0" fillId="2" borderId="0" xfId="0" applyFont="true" applyBorder="true" applyAlignment="true" applyProtection="false">
      <alignment horizontal="center" vertical="center" textRotation="0" wrapText="false" indent="0" shrinkToFit="false"/>
      <protection locked="true" hidden="false"/>
    </xf>
    <xf numFmtId="164" fontId="8" fillId="2" borderId="11" xfId="0" applyFont="true" applyBorder="true" applyAlignment="true" applyProtection="false">
      <alignment horizontal="center" vertical="center" textRotation="0" wrapText="true" indent="0" shrinkToFit="false"/>
      <protection locked="true" hidden="false"/>
    </xf>
    <xf numFmtId="164" fontId="8" fillId="2" borderId="22" xfId="0" applyFont="true" applyBorder="true" applyAlignment="true" applyProtection="false">
      <alignment horizontal="center" vertical="center" textRotation="0" wrapText="true" indent="0" shrinkToFit="false"/>
      <protection locked="true" hidden="false"/>
    </xf>
    <xf numFmtId="164" fontId="8" fillId="2" borderId="29" xfId="0" applyFont="true" applyBorder="true" applyAlignment="true" applyProtection="false">
      <alignment horizontal="center" vertical="center" textRotation="0" wrapText="true" indent="0" shrinkToFit="false"/>
      <protection locked="true" hidden="false"/>
    </xf>
    <xf numFmtId="164" fontId="8" fillId="2" borderId="19" xfId="0" applyFont="true" applyBorder="true" applyAlignment="true" applyProtection="false">
      <alignment horizontal="center" vertical="center" textRotation="0" wrapText="true" indent="0" shrinkToFit="false"/>
      <protection locked="true" hidden="false"/>
    </xf>
    <xf numFmtId="164" fontId="8" fillId="2" borderId="28" xfId="0" applyFont="true" applyBorder="true" applyAlignment="true" applyProtection="false">
      <alignment horizontal="center" vertical="center" textRotation="0" wrapText="true" indent="0" shrinkToFit="false"/>
      <protection locked="true" hidden="false"/>
    </xf>
    <xf numFmtId="164" fontId="8" fillId="2" borderId="20" xfId="0" applyFont="true" applyBorder="true" applyAlignment="true" applyProtection="false">
      <alignment horizontal="center" vertical="center" textRotation="0" wrapText="true" indent="0" shrinkToFit="false"/>
      <protection locked="true" hidden="false"/>
    </xf>
    <xf numFmtId="165" fontId="0" fillId="2" borderId="30" xfId="0" applyFont="true" applyBorder="true" applyAlignment="true" applyProtection="false">
      <alignment horizontal="center" vertical="bottom" textRotation="0" wrapText="false" indent="0" shrinkToFit="false"/>
      <protection locked="true" hidden="false"/>
    </xf>
    <xf numFmtId="166" fontId="0" fillId="5" borderId="31" xfId="0" applyFont="true" applyBorder="true" applyAlignment="true" applyProtection="false">
      <alignment horizontal="center" vertical="center" textRotation="0" wrapText="false" indent="0" shrinkToFit="false"/>
      <protection locked="true" hidden="false"/>
    </xf>
    <xf numFmtId="166" fontId="0" fillId="0" borderId="27" xfId="0" applyFont="true" applyBorder="true" applyAlignment="true" applyProtection="false">
      <alignment horizontal="center" vertical="center" textRotation="0" wrapText="false" indent="0" shrinkToFit="false"/>
      <protection locked="true" hidden="false"/>
    </xf>
    <xf numFmtId="164" fontId="0" fillId="2" borderId="23" xfId="0" applyFont="true" applyBorder="true" applyAlignment="true" applyProtection="false">
      <alignment horizontal="center" vertical="center" textRotation="0" wrapText="true" indent="0" shrinkToFit="false"/>
      <protection locked="true" hidden="false"/>
    </xf>
    <xf numFmtId="166" fontId="0" fillId="5" borderId="28" xfId="0" applyFont="true" applyBorder="true" applyAlignment="true" applyProtection="false">
      <alignment horizontal="center" vertical="center" textRotation="0" wrapText="false" indent="0" shrinkToFit="false"/>
      <protection locked="true" hidden="false"/>
    </xf>
    <xf numFmtId="166" fontId="0" fillId="6" borderId="28" xfId="0" applyFont="true" applyBorder="true" applyAlignment="true" applyProtection="false">
      <alignment horizontal="center" vertical="center" textRotation="0" wrapText="false" indent="0" shrinkToFit="false"/>
      <protection locked="true" hidden="false"/>
    </xf>
    <xf numFmtId="165" fontId="0" fillId="2" borderId="32" xfId="0" applyFont="true" applyBorder="true" applyAlignment="true" applyProtection="false">
      <alignment horizontal="center" vertical="bottom" textRotation="0" wrapText="false" indent="0" shrinkToFit="false"/>
      <protection locked="true" hidden="false"/>
    </xf>
    <xf numFmtId="167" fontId="0" fillId="2" borderId="31" xfId="0" applyFont="false" applyBorder="true" applyAlignment="true" applyProtection="false">
      <alignment horizontal="center" vertical="bottom" textRotation="0" wrapText="false" indent="0" shrinkToFit="false"/>
      <protection locked="true" hidden="false"/>
    </xf>
    <xf numFmtId="167" fontId="0" fillId="2" borderId="27" xfId="0" applyFont="false" applyBorder="true" applyAlignment="true" applyProtection="false">
      <alignment horizontal="center" vertical="bottom" textRotation="0" wrapText="false" indent="0" shrinkToFit="false"/>
      <protection locked="true" hidden="false"/>
    </xf>
    <xf numFmtId="165" fontId="0" fillId="2" borderId="33" xfId="0" applyFont="true" applyBorder="true" applyAlignment="true" applyProtection="false">
      <alignment horizontal="center" vertical="bottom" textRotation="0" wrapText="false" indent="0" shrinkToFit="false"/>
      <protection locked="true" hidden="false"/>
    </xf>
    <xf numFmtId="166" fontId="0" fillId="0" borderId="34" xfId="0" applyFont="true" applyBorder="true" applyAlignment="true" applyProtection="false">
      <alignment horizontal="center" vertical="center" textRotation="0" wrapText="false" indent="0" shrinkToFit="false"/>
      <protection locked="true" hidden="false"/>
    </xf>
    <xf numFmtId="164" fontId="0" fillId="2" borderId="28" xfId="0" applyFont="true" applyBorder="true" applyAlignment="true" applyProtection="false">
      <alignment horizontal="center" vertical="center" textRotation="0" wrapText="true" indent="0" shrinkToFit="false"/>
      <protection locked="true" hidden="false"/>
    </xf>
    <xf numFmtId="166" fontId="0" fillId="2" borderId="28" xfId="0" applyFont="true" applyBorder="true" applyAlignment="true" applyProtection="false">
      <alignment horizontal="center" vertical="center" textRotation="0" wrapText="false" indent="0" shrinkToFit="false"/>
      <protection locked="true" hidden="false"/>
    </xf>
    <xf numFmtId="165" fontId="0" fillId="2" borderId="35" xfId="0" applyFont="true" applyBorder="true" applyAlignment="true" applyProtection="false">
      <alignment horizontal="center" vertical="bottom" textRotation="0" wrapText="false" indent="0" shrinkToFit="false"/>
      <protection locked="true" hidden="false"/>
    </xf>
    <xf numFmtId="167" fontId="0" fillId="2" borderId="28" xfId="0" applyFont="false" applyBorder="true" applyAlignment="true" applyProtection="false">
      <alignment horizontal="center" vertical="bottom" textRotation="0" wrapText="false" indent="0" shrinkToFit="false"/>
      <protection locked="true" hidden="false"/>
    </xf>
    <xf numFmtId="167" fontId="0" fillId="2" borderId="34" xfId="0" applyFont="false" applyBorder="true" applyAlignment="true" applyProtection="false">
      <alignment horizontal="center" vertical="bottom" textRotation="0" wrapText="false" indent="0" shrinkToFit="false"/>
      <protection locked="true" hidden="false"/>
    </xf>
    <xf numFmtId="166" fontId="0" fillId="7" borderId="28" xfId="0" applyFont="true" applyBorder="true" applyAlignment="true" applyProtection="false">
      <alignment horizontal="center" vertical="center" textRotation="0" wrapText="false" indent="0" shrinkToFit="false"/>
      <protection locked="true" hidden="false"/>
    </xf>
    <xf numFmtId="164" fontId="0" fillId="2" borderId="28" xfId="0" applyFont="true" applyBorder="true" applyAlignment="true" applyProtection="false">
      <alignment horizontal="center" vertical="center" textRotation="0" wrapText="false" indent="0" shrinkToFit="false"/>
      <protection locked="true" hidden="false"/>
    </xf>
    <xf numFmtId="166" fontId="0" fillId="6" borderId="34" xfId="0" applyFont="true" applyBorder="true" applyAlignment="true" applyProtection="false">
      <alignment horizontal="center" vertical="center" textRotation="0" wrapText="false" indent="0" shrinkToFit="false"/>
      <protection locked="true" hidden="false"/>
    </xf>
    <xf numFmtId="167" fontId="0" fillId="6" borderId="34" xfId="0" applyFont="false" applyBorder="true" applyAlignment="true" applyProtection="false">
      <alignment horizontal="center" vertical="bottom" textRotation="0" wrapText="false" indent="0" shrinkToFit="false"/>
      <protection locked="true" hidden="false"/>
    </xf>
    <xf numFmtId="165" fontId="0" fillId="2" borderId="36" xfId="0" applyFont="true" applyBorder="true" applyAlignment="true" applyProtection="false">
      <alignment horizontal="center" vertical="bottom" textRotation="0" wrapText="false" indent="0" shrinkToFit="false"/>
      <protection locked="true" hidden="false"/>
    </xf>
    <xf numFmtId="166" fontId="0" fillId="5" borderId="37" xfId="0" applyFont="true" applyBorder="true" applyAlignment="true" applyProtection="false">
      <alignment horizontal="center" vertical="center" textRotation="0" wrapText="false" indent="0" shrinkToFit="false"/>
      <protection locked="true" hidden="false"/>
    </xf>
    <xf numFmtId="166" fontId="0" fillId="0" borderId="38" xfId="0" applyFont="true" applyBorder="true" applyAlignment="true" applyProtection="false">
      <alignment horizontal="center" vertical="center" textRotation="0" wrapText="false" indent="0" shrinkToFit="false"/>
      <protection locked="true" hidden="false"/>
    </xf>
    <xf numFmtId="165" fontId="0" fillId="2" borderId="39" xfId="0" applyFont="true" applyBorder="true" applyAlignment="true" applyProtection="false">
      <alignment horizontal="center" vertical="bottom" textRotation="0" wrapText="false" indent="0" shrinkToFit="false"/>
      <protection locked="true" hidden="false"/>
    </xf>
    <xf numFmtId="167" fontId="0" fillId="2" borderId="37" xfId="0" applyFont="false" applyBorder="true" applyAlignment="true" applyProtection="false">
      <alignment horizontal="center" vertical="bottom" textRotation="0" wrapText="false" indent="0" shrinkToFit="false"/>
      <protection locked="true" hidden="false"/>
    </xf>
    <xf numFmtId="167" fontId="0" fillId="2" borderId="38" xfId="0" applyFont="false" applyBorder="true" applyAlignment="true" applyProtection="false">
      <alignment horizontal="center" vertical="bottom" textRotation="0" wrapText="false" indent="0" shrinkToFit="false"/>
      <protection locked="true" hidden="false"/>
    </xf>
    <xf numFmtId="165" fontId="0" fillId="2" borderId="40" xfId="0" applyFont="true" applyBorder="true" applyAlignment="true" applyProtection="false">
      <alignment horizontal="center" vertical="bottom" textRotation="0" wrapText="false" indent="0" shrinkToFit="false"/>
      <protection locked="true" hidden="false"/>
    </xf>
    <xf numFmtId="166" fontId="0" fillId="0" borderId="31" xfId="0" applyFont="true" applyBorder="true" applyAlignment="true" applyProtection="false">
      <alignment horizontal="center" vertical="center" textRotation="0" wrapText="false" indent="0" shrinkToFit="false"/>
      <protection locked="true" hidden="false"/>
    </xf>
    <xf numFmtId="165" fontId="0" fillId="2" borderId="41" xfId="0" applyFont="true" applyBorder="true" applyAlignment="true" applyProtection="false">
      <alignment horizontal="center" vertical="bottom" textRotation="0" wrapText="false" indent="0" shrinkToFit="false"/>
      <protection locked="true" hidden="false"/>
    </xf>
    <xf numFmtId="166" fontId="0" fillId="0" borderId="28" xfId="0" applyFont="true" applyBorder="true" applyAlignment="true" applyProtection="false">
      <alignment horizontal="center" vertical="center" textRotation="0" wrapText="false" indent="0" shrinkToFit="false"/>
      <protection locked="true" hidden="false"/>
    </xf>
    <xf numFmtId="164" fontId="0" fillId="2" borderId="0" xfId="0" applyFont="true" applyBorder="true" applyAlignment="true" applyProtection="false">
      <alignment horizontal="center" vertical="center" textRotation="0" wrapText="true" indent="0" shrinkToFit="false"/>
      <protection locked="true" hidden="false"/>
    </xf>
    <xf numFmtId="166" fontId="0" fillId="2" borderId="28" xfId="0" applyFont="true" applyBorder="true" applyAlignment="true" applyProtection="false">
      <alignment horizontal="center" vertical="center" textRotation="0" wrapText="true" indent="0" shrinkToFit="false"/>
      <protection locked="true" hidden="false"/>
    </xf>
    <xf numFmtId="164" fontId="10" fillId="2" borderId="0" xfId="0" applyFont="true" applyBorder="true" applyAlignment="true" applyProtection="false">
      <alignment horizontal="center" vertical="center" textRotation="0" wrapText="true" indent="0" shrinkToFit="false"/>
      <protection locked="true" hidden="false"/>
    </xf>
    <xf numFmtId="166" fontId="0" fillId="0" borderId="37" xfId="0" applyFont="true" applyBorder="true" applyAlignment="true" applyProtection="false">
      <alignment horizontal="center" vertical="center" textRotation="0" wrapText="false" indent="0" shrinkToFit="false"/>
      <protection locked="true" hidden="false"/>
    </xf>
    <xf numFmtId="166" fontId="0" fillId="0" borderId="28" xfId="0" applyFont="true" applyBorder="true" applyAlignment="true" applyProtection="false">
      <alignment horizontal="center" vertical="center" textRotation="0" wrapText="true" indent="0" shrinkToFit="false"/>
      <protection locked="true" hidden="false"/>
    </xf>
    <xf numFmtId="166" fontId="10" fillId="7" borderId="28" xfId="0" applyFont="true" applyBorder="true" applyAlignment="true" applyProtection="false">
      <alignment horizontal="center" vertical="center" textRotation="0" wrapText="true" indent="0" shrinkToFit="false"/>
      <protection locked="true" hidden="false"/>
    </xf>
    <xf numFmtId="166" fontId="10" fillId="2" borderId="28" xfId="0" applyFont="true" applyBorder="true" applyAlignment="true" applyProtection="false">
      <alignment horizontal="center" vertical="center" textRotation="0" wrapText="true" indent="0" shrinkToFit="false"/>
      <protection locked="true" hidden="false"/>
    </xf>
    <xf numFmtId="167" fontId="0" fillId="2" borderId="23" xfId="0" applyFont="true" applyBorder="true" applyAlignment="true" applyProtection="false">
      <alignment horizontal="center" vertical="center" textRotation="0" wrapText="false" indent="0" shrinkToFit="false"/>
      <protection locked="true" hidden="false"/>
    </xf>
    <xf numFmtId="167" fontId="0" fillId="2" borderId="42" xfId="0" applyFont="true" applyBorder="true" applyAlignment="true" applyProtection="false">
      <alignment horizontal="center" vertical="center" textRotation="0" wrapText="false" indent="0" shrinkToFit="false"/>
      <protection locked="true" hidden="false"/>
    </xf>
    <xf numFmtId="164" fontId="10" fillId="2" borderId="0" xfId="0" applyFont="true" applyBorder="false" applyAlignment="true" applyProtection="false">
      <alignment horizontal="center" vertical="bottom" textRotation="0" wrapText="false" indent="0" shrinkToFit="false"/>
      <protection locked="true" hidden="false"/>
    </xf>
    <xf numFmtId="167" fontId="0" fillId="2" borderId="28" xfId="0" applyFont="true" applyBorder="true" applyAlignment="true" applyProtection="false">
      <alignment horizontal="center" vertical="center" textRotation="0" wrapText="false" indent="0" shrinkToFit="false"/>
      <protection locked="true" hidden="false"/>
    </xf>
    <xf numFmtId="167" fontId="0" fillId="2" borderId="34" xfId="0" applyFont="true" applyBorder="true" applyAlignment="true" applyProtection="false">
      <alignment horizontal="center" vertical="center" textRotation="0" wrapText="false" indent="0" shrinkToFit="false"/>
      <protection locked="true" hidden="false"/>
    </xf>
    <xf numFmtId="164" fontId="11" fillId="2" borderId="0" xfId="0" applyFont="true" applyBorder="false" applyAlignment="false" applyProtection="false">
      <alignment horizontal="general" vertical="bottom" textRotation="0" wrapText="false" indent="0" shrinkToFit="false"/>
      <protection locked="true" hidden="false"/>
    </xf>
    <xf numFmtId="164" fontId="8" fillId="2" borderId="0" xfId="0" applyFont="true" applyBorder="false" applyAlignment="true" applyProtection="false">
      <alignment horizontal="general" vertical="center" textRotation="0" wrapText="true" indent="0" shrinkToFit="false"/>
      <protection locked="true" hidden="false"/>
    </xf>
    <xf numFmtId="165" fontId="0" fillId="2" borderId="43" xfId="0" applyFont="true" applyBorder="true" applyAlignment="true" applyProtection="false">
      <alignment horizontal="center" vertical="bottom" textRotation="0" wrapText="false" indent="0" shrinkToFit="false"/>
      <protection locked="true" hidden="false"/>
    </xf>
    <xf numFmtId="167" fontId="0" fillId="2" borderId="20" xfId="0" applyFont="true" applyBorder="true" applyAlignment="true" applyProtection="false">
      <alignment horizontal="center" vertical="center" textRotation="0" wrapText="false" indent="0" shrinkToFit="false"/>
      <protection locked="true" hidden="false"/>
    </xf>
    <xf numFmtId="167" fontId="0" fillId="2" borderId="29" xfId="0" applyFont="true" applyBorder="true" applyAlignment="true" applyProtection="false">
      <alignment horizontal="center" vertical="center" textRotation="0" wrapText="false" indent="0" shrinkToFit="false"/>
      <protection locked="true" hidden="false"/>
    </xf>
    <xf numFmtId="167" fontId="0" fillId="2" borderId="31" xfId="0" applyFont="true" applyBorder="true" applyAlignment="true" applyProtection="false">
      <alignment horizontal="center" vertical="center" textRotation="0" wrapText="false" indent="0" shrinkToFit="false"/>
      <protection locked="true" hidden="false"/>
    </xf>
    <xf numFmtId="167" fontId="0" fillId="2" borderId="27" xfId="0" applyFont="true" applyBorder="true" applyAlignment="true" applyProtection="false">
      <alignment horizontal="center" vertical="center" textRotation="0" wrapText="false" indent="0" shrinkToFit="false"/>
      <protection locked="true" hidden="false"/>
    </xf>
    <xf numFmtId="164" fontId="0" fillId="2" borderId="0" xfId="0" applyFont="true" applyBorder="false" applyAlignment="true" applyProtection="false">
      <alignment horizontal="general" vertical="center" textRotation="0" wrapText="true" indent="0" shrinkToFit="false"/>
      <protection locked="true" hidden="false"/>
    </xf>
    <xf numFmtId="164" fontId="0" fillId="7" borderId="0" xfId="0" applyFont="true" applyBorder="false" applyAlignment="true" applyProtection="false">
      <alignment horizontal="general" vertical="center" textRotation="0" wrapText="false" indent="0" shrinkToFit="false"/>
      <protection locked="true" hidden="false"/>
    </xf>
    <xf numFmtId="164" fontId="0" fillId="7" borderId="0" xfId="0" applyFont="true" applyBorder="false" applyAlignment="true" applyProtection="false">
      <alignment horizontal="general" vertical="bottom" textRotation="0" wrapText="fals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7" fontId="0" fillId="2" borderId="37" xfId="0" applyFont="true" applyBorder="true" applyAlignment="true" applyProtection="false">
      <alignment horizontal="center" vertical="center" textRotation="0" wrapText="false" indent="0" shrinkToFit="false"/>
      <protection locked="true" hidden="false"/>
    </xf>
    <xf numFmtId="167" fontId="0" fillId="2" borderId="38"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false" applyAlignment="true" applyProtection="false">
      <alignment horizontal="general" vertical="center" textRotation="0" wrapText="true" indent="0" shrinkToFit="false"/>
      <protection locked="true" hidden="false"/>
    </xf>
    <xf numFmtId="167" fontId="0" fillId="2" borderId="26" xfId="0" applyFont="true" applyBorder="true" applyAlignment="true" applyProtection="false">
      <alignment horizontal="center" vertical="center" textRotation="0" wrapText="false" indent="0" shrinkToFit="false"/>
      <protection locked="true" hidden="false"/>
    </xf>
    <xf numFmtId="167" fontId="0" fillId="2" borderId="25" xfId="0" applyFont="true" applyBorder="true" applyAlignment="true" applyProtection="false">
      <alignment horizontal="center" vertical="center" textRotation="0" wrapText="false" indent="0" shrinkToFit="false"/>
      <protection locked="true" hidden="false"/>
    </xf>
    <xf numFmtId="167" fontId="0" fillId="2" borderId="44" xfId="0" applyFont="true" applyBorder="true" applyAlignment="true" applyProtection="false">
      <alignment horizontal="center" vertical="center" textRotation="0" wrapText="false" indent="0" shrinkToFit="false"/>
      <protection locked="true" hidden="false"/>
    </xf>
    <xf numFmtId="167" fontId="0" fillId="2" borderId="45" xfId="0" applyFont="true" applyBorder="true" applyAlignment="true" applyProtection="false">
      <alignment horizontal="center" vertical="center" textRotation="0" wrapText="false" indent="0" shrinkToFit="false"/>
      <protection locked="true" hidden="false"/>
    </xf>
  </cellXfs>
  <cellStyles count="9">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3" xfId="21" builtinId="53" customBuiltin="true"/>
    <cellStyle name="Normal 4" xfId="22" builtinId="53" customBuiltin="true"/>
    <cellStyle name="*unknown*" xfId="20" builtinId="8" customBuiltin="false"/>
  </cellStyle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2E75B6"/>
      <rgbColor rgb="FFE3D7F5"/>
      <rgbColor rgb="FF7C7C7C"/>
      <rgbColor rgb="FF5B9BD5"/>
      <rgbColor rgb="FF7030A0"/>
      <rgbColor rgb="FFFBE5D6"/>
      <rgbColor rgb="FFDEEBF7"/>
      <rgbColor rgb="FF660066"/>
      <rgbColor rgb="FFFF8080"/>
      <rgbColor rgb="FF0563C1"/>
      <rgbColor rgb="FFDBCBF1"/>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4472C4"/>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hyperlink" Target="https://beta.ukdataservice.ac.uk/datacatalogue/studies/study?id=5828" TargetMode="External"/><Relationship Id="rId2" Type="http://schemas.openxmlformats.org/officeDocument/2006/relationships/hyperlink" Target="../../../../../../../../home/graham_s/.cache/.fr-tMUl32/secure/im/im3/project/hbai/released/gross4" TargetMode="External"/><Relationship Id="rId3" Type="http://schemas.openxmlformats.org/officeDocument/2006/relationships/hyperlink" Target="https://www.gov.uk/government/statistics/households-below-average-income-199495-to-201819" TargetMode="Externa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hyperlink" Target="https://www.gov.uk/government/statistics/households-below-average-income-199495-to-201819" TargetMode="External"/><Relationship Id="rId2" Type="http://schemas.openxmlformats.org/officeDocument/2006/relationships/hyperlink" Target="https://beta.ukdataservice.ac.uk/datacatalogue/studies/study?id=5828" TargetMode="External"/><Relationship Id="rId3" Type="http://schemas.openxmlformats.org/officeDocument/2006/relationships/hyperlink" Target="https://dwpgovuk.sharepoint.com/sites/aac/Data%20for%20Analysis%20Surveys/Forms/AllItems.aspx?FolderCTID=0x012000982DA45F816EE046BB6D770216A7C52A&amp;id=%2Fsites%2Faac%2FData%20for%20Analysis%20Surveys%2FHouseholds%20Below%20Average%20Income%20%28HBAI%29" TargetMode="External"/>
</Relationships>
</file>

<file path=xl/worksheets/_rels/sheet6.xml.rels><?xml version="1.0" encoding="UTF-8"?>
<Relationships xmlns="http://schemas.openxmlformats.org/package/2006/relationships"><Relationship Id="rId1" Type="http://schemas.openxmlformats.org/officeDocument/2006/relationships/hyperlink" Target="https://www.ons.gov.uk/economy/inflationandpriceindices/adhocs/007202consumerpriceindicesseriesexcludingrentsmaintenancerepairsandwaterchargesfortheperiodjanuary1996tomay2017alsoanexperimentalcpiseriesincludingmipsgroundrentanddwellinginsurancefortheperio" TargetMode="External"/><Relationship Id="rId2" Type="http://schemas.openxmlformats.org/officeDocument/2006/relationships/hyperlink" Target="https://www.ons.gov.uk/file?uri=/economy/inflationandpriceindices/adhocs/008572consumerpriceindicesseriesexcludingrentsmaintenancerepairsandwaterchargesfortheperiodjanuary1996toapril2018/dwpdeflatorsjune18update.xls" TargetMode="External"/><Relationship Id="rId3" Type="http://schemas.openxmlformats.org/officeDocument/2006/relationships/hyperlink" Target="https://www.ons.gov.uk/file?uri=/economy/inflationandpriceindices/adhocs/008572consumerpriceindicesseriesexcludingrentsmaintenancerepairsandwaterchargesfortheperiodjanuary1996toapril2018/dwpdeflatorsjune18update.xls" TargetMode="External"/><Relationship Id="rId4" Type="http://schemas.openxmlformats.org/officeDocument/2006/relationships/hyperlink" Target="https://assets.publishing.service.gov.uk/government/uploads/system/uploads/attachment_data/file/530905/households-below-average-income-quality-metholodogy-2014-2015.pdf" TargetMode="Externa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K37"/>
  <sheetViews>
    <sheetView showFormulas="false" showGridLines="true" showRowColHeaders="true" showZeros="true" rightToLeft="false" tabSelected="false" showOutlineSymbols="true" defaultGridColor="true" view="normal" topLeftCell="A1" colorId="64" zoomScale="71" zoomScaleNormal="71" zoomScalePageLayoutView="100" workbookViewId="0">
      <selection pane="topLeft" activeCell="D12" activeCellId="1" sqref="C275:D279 D12"/>
    </sheetView>
  </sheetViews>
  <sheetFormatPr defaultRowHeight="15" zeroHeight="false" outlineLevelRow="0" outlineLevelCol="0"/>
  <cols>
    <col collapsed="false" customWidth="true" hidden="false" outlineLevel="0" max="1" min="1" style="1" width="37.94"/>
    <col collapsed="false" customWidth="true" hidden="false" outlineLevel="0" max="2" min="2" style="2" width="26"/>
    <col collapsed="false" customWidth="true" hidden="false" outlineLevel="0" max="3" min="3" style="1" width="30.5"/>
    <col collapsed="false" customWidth="true" hidden="false" outlineLevel="0" max="4" min="4" style="1" width="25.38"/>
    <col collapsed="false" customWidth="true" hidden="false" outlineLevel="0" max="5" min="5" style="1" width="3.66"/>
    <col collapsed="false" customWidth="true" hidden="false" outlineLevel="0" max="6" min="6" style="2" width="37.34"/>
    <col collapsed="false" customWidth="true" hidden="false" outlineLevel="0" max="7" min="7" style="1" width="22.17"/>
    <col collapsed="false" customWidth="true" hidden="false" outlineLevel="0" max="8" min="8" style="1" width="15.66"/>
    <col collapsed="false" customWidth="true" hidden="false" outlineLevel="0" max="1025" min="9" style="1" width="8.89"/>
  </cols>
  <sheetData>
    <row r="1" customFormat="false" ht="15" hidden="false" customHeight="false" outlineLevel="0" collapsed="false">
      <c r="A1" s="3" t="s">
        <v>0</v>
      </c>
    </row>
    <row r="2" customFormat="false" ht="15" hidden="false" customHeight="false" outlineLevel="0" collapsed="false">
      <c r="A2" s="3"/>
    </row>
    <row r="3" customFormat="false" ht="15" hidden="false" customHeight="false" outlineLevel="0" collapsed="false">
      <c r="A3" s="1" t="s">
        <v>1</v>
      </c>
      <c r="D3" s="4" t="s">
        <v>2</v>
      </c>
      <c r="E3" s="2" t="s">
        <v>3</v>
      </c>
      <c r="F3" s="5" t="s">
        <v>4</v>
      </c>
      <c r="G3" s="1" t="s">
        <v>5</v>
      </c>
    </row>
    <row r="5" customFormat="false" ht="15" hidden="false" customHeight="false" outlineLevel="0" collapsed="false">
      <c r="A5" s="6" t="s">
        <v>6</v>
      </c>
      <c r="B5" s="7" t="s">
        <v>7</v>
      </c>
    </row>
    <row r="6" customFormat="false" ht="15" hidden="false" customHeight="false" outlineLevel="0" collapsed="false">
      <c r="A6" s="6"/>
      <c r="B6" s="8"/>
    </row>
    <row r="7" customFormat="false" ht="15" hidden="false" customHeight="false" outlineLevel="0" collapsed="false">
      <c r="A7" s="9" t="s">
        <v>8</v>
      </c>
      <c r="B7" s="10" t="s">
        <v>9</v>
      </c>
    </row>
    <row r="8" customFormat="false" ht="15" hidden="false" customHeight="false" outlineLevel="0" collapsed="false">
      <c r="A8" s="9"/>
      <c r="B8" s="10"/>
    </row>
    <row r="9" customFormat="false" ht="15" hidden="false" customHeight="false" outlineLevel="0" collapsed="false">
      <c r="A9" s="11" t="s">
        <v>10</v>
      </c>
      <c r="B9" s="10" t="s">
        <v>11</v>
      </c>
    </row>
    <row r="10" customFormat="false" ht="14.25" hidden="false" customHeight="true" outlineLevel="0" collapsed="false">
      <c r="A10" s="11"/>
      <c r="B10" s="10" t="s">
        <v>12</v>
      </c>
    </row>
    <row r="11" customFormat="false" ht="10.5" hidden="false" customHeight="true" outlineLevel="0" collapsed="false">
      <c r="A11" s="11"/>
      <c r="B11" s="10"/>
    </row>
    <row r="12" customFormat="false" ht="15" hidden="false" customHeight="false" outlineLevel="0" collapsed="false">
      <c r="A12" s="11" t="s">
        <v>13</v>
      </c>
      <c r="B12" s="10" t="s">
        <v>14</v>
      </c>
    </row>
    <row r="14" customFormat="false" ht="15" hidden="false" customHeight="false" outlineLevel="0" collapsed="false">
      <c r="A14" s="11" t="s">
        <v>15</v>
      </c>
      <c r="B14" s="10" t="s">
        <v>16</v>
      </c>
    </row>
    <row r="15" customFormat="false" ht="15" hidden="false" customHeight="false" outlineLevel="0" collapsed="false">
      <c r="B15" s="10"/>
    </row>
    <row r="16" customFormat="false" ht="29.65" hidden="false" customHeight="true" outlineLevel="0" collapsed="false">
      <c r="A16" s="11" t="s">
        <v>17</v>
      </c>
      <c r="B16" s="10" t="s">
        <v>18</v>
      </c>
    </row>
    <row r="17" customFormat="false" ht="15" hidden="false" customHeight="false" outlineLevel="0" collapsed="false">
      <c r="A17" s="11"/>
      <c r="B17" s="10"/>
    </row>
    <row r="18" customFormat="false" ht="15" hidden="false" customHeight="false" outlineLevel="0" collapsed="false">
      <c r="A18" s="12" t="s">
        <v>19</v>
      </c>
      <c r="F18" s="13" t="s">
        <v>20</v>
      </c>
    </row>
    <row r="19" customFormat="false" ht="15.4" hidden="false" customHeight="false" outlineLevel="0" collapsed="false">
      <c r="A19" s="14"/>
      <c r="F19" s="6"/>
    </row>
    <row r="20" customFormat="false" ht="15.4" hidden="false" customHeight="false" outlineLevel="0" collapsed="false">
      <c r="A20" s="15"/>
      <c r="B20" s="16" t="s">
        <v>21</v>
      </c>
      <c r="C20" s="16" t="s">
        <v>22</v>
      </c>
      <c r="D20" s="17" t="s">
        <v>23</v>
      </c>
      <c r="G20" s="3" t="s">
        <v>24</v>
      </c>
      <c r="H20" s="3" t="s">
        <v>25</v>
      </c>
      <c r="J20" s="18"/>
      <c r="K20" s="18"/>
    </row>
    <row r="21" customFormat="false" ht="17.35" hidden="false" customHeight="true" outlineLevel="0" collapsed="false">
      <c r="A21" s="19" t="s">
        <v>26</v>
      </c>
      <c r="B21" s="20"/>
      <c r="C21" s="21"/>
      <c r="D21" s="22"/>
      <c r="F21" s="7" t="s">
        <v>27</v>
      </c>
      <c r="I21" s="18"/>
      <c r="J21" s="18"/>
      <c r="K21" s="18"/>
    </row>
    <row r="22" customFormat="false" ht="15" hidden="false" customHeight="false" outlineLevel="0" collapsed="false">
      <c r="A22" s="23" t="s">
        <v>28</v>
      </c>
      <c r="B22" s="24" t="s">
        <v>29</v>
      </c>
      <c r="C22" s="25" t="s">
        <v>30</v>
      </c>
      <c r="D22" s="26" t="s">
        <v>31</v>
      </c>
      <c r="F22" s="10" t="s">
        <v>32</v>
      </c>
      <c r="G22" s="27" t="n">
        <v>19085</v>
      </c>
      <c r="H22" s="27" t="n">
        <v>19079</v>
      </c>
      <c r="J22" s="27"/>
      <c r="K22" s="18"/>
    </row>
    <row r="23" customFormat="false" ht="15" hidden="false" customHeight="false" outlineLevel="0" collapsed="false">
      <c r="A23" s="23" t="s">
        <v>33</v>
      </c>
      <c r="B23" s="24" t="s">
        <v>34</v>
      </c>
      <c r="C23" s="25" t="s">
        <v>35</v>
      </c>
      <c r="D23" s="26" t="s">
        <v>36</v>
      </c>
      <c r="F23" s="10" t="s">
        <v>37</v>
      </c>
      <c r="G23" s="27" t="n">
        <v>22303</v>
      </c>
      <c r="H23" s="27" t="n">
        <v>22286</v>
      </c>
      <c r="J23" s="27"/>
      <c r="K23" s="27"/>
    </row>
    <row r="24" customFormat="false" ht="15" hidden="false" customHeight="false" outlineLevel="0" collapsed="false">
      <c r="A24" s="23" t="s">
        <v>38</v>
      </c>
      <c r="B24" s="24" t="s">
        <v>39</v>
      </c>
      <c r="C24" s="25" t="s">
        <v>40</v>
      </c>
      <c r="D24" s="26" t="s">
        <v>41</v>
      </c>
      <c r="F24" s="10" t="s">
        <v>42</v>
      </c>
      <c r="G24" s="27" t="n">
        <v>42990</v>
      </c>
      <c r="H24" s="27" t="n">
        <v>42928</v>
      </c>
      <c r="I24" s="27"/>
      <c r="J24" s="27"/>
      <c r="K24" s="27"/>
    </row>
    <row r="25" customFormat="false" ht="15" hidden="false" customHeight="false" outlineLevel="0" collapsed="false">
      <c r="A25" s="23" t="s">
        <v>43</v>
      </c>
      <c r="B25" s="24" t="s">
        <v>44</v>
      </c>
      <c r="C25" s="25" t="s">
        <v>45</v>
      </c>
      <c r="D25" s="26" t="s">
        <v>46</v>
      </c>
      <c r="F25" s="18" t="s">
        <v>47</v>
      </c>
      <c r="G25" s="27" t="n">
        <v>9854</v>
      </c>
      <c r="H25" s="27" t="n">
        <v>9820</v>
      </c>
    </row>
    <row r="26" customFormat="false" ht="15.4" hidden="false" customHeight="false" outlineLevel="0" collapsed="false">
      <c r="A26" s="28"/>
      <c r="B26" s="29"/>
      <c r="C26" s="30"/>
      <c r="D26" s="31"/>
      <c r="F26" s="18" t="s">
        <v>48</v>
      </c>
      <c r="G26" s="27" t="n">
        <v>23750</v>
      </c>
      <c r="H26" s="27" t="n">
        <v>23722</v>
      </c>
    </row>
    <row r="27" customFormat="false" ht="15" hidden="false" customHeight="false" outlineLevel="0" collapsed="false">
      <c r="A27" s="32" t="s">
        <v>49</v>
      </c>
      <c r="B27" s="24"/>
      <c r="C27" s="33"/>
      <c r="D27" s="34"/>
      <c r="F27" s="1" t="s">
        <v>50</v>
      </c>
      <c r="G27" s="27" t="n">
        <v>9386</v>
      </c>
      <c r="H27" s="27" t="n">
        <v>9386</v>
      </c>
    </row>
    <row r="28" customFormat="false" ht="15" hidden="false" customHeight="false" outlineLevel="0" collapsed="false">
      <c r="A28" s="35" t="s">
        <v>28</v>
      </c>
      <c r="B28" s="36" t="s">
        <v>51</v>
      </c>
      <c r="C28" s="33" t="s">
        <v>52</v>
      </c>
      <c r="D28" s="34" t="s">
        <v>53</v>
      </c>
      <c r="G28" s="37"/>
      <c r="H28" s="37"/>
    </row>
    <row r="29" customFormat="false" ht="14.25" hidden="false" customHeight="true" outlineLevel="0" collapsed="false">
      <c r="A29" s="35" t="s">
        <v>33</v>
      </c>
      <c r="B29" s="36" t="s">
        <v>54</v>
      </c>
      <c r="C29" s="33" t="s">
        <v>55</v>
      </c>
      <c r="D29" s="34" t="s">
        <v>56</v>
      </c>
      <c r="F29" s="38" t="s">
        <v>57</v>
      </c>
      <c r="G29" s="37"/>
      <c r="H29" s="37"/>
    </row>
    <row r="30" customFormat="false" ht="15.4" hidden="false" customHeight="false" outlineLevel="0" collapsed="false">
      <c r="A30" s="39"/>
      <c r="B30" s="29"/>
      <c r="C30" s="40"/>
      <c r="D30" s="41"/>
      <c r="F30" s="42" t="s">
        <v>58</v>
      </c>
      <c r="G30" s="27" t="n">
        <v>216</v>
      </c>
      <c r="H30" s="27" t="n">
        <v>213</v>
      </c>
    </row>
    <row r="31" customFormat="false" ht="15" hidden="false" customHeight="false" outlineLevel="0" collapsed="false">
      <c r="A31" s="43" t="s">
        <v>59</v>
      </c>
      <c r="F31" s="10" t="s">
        <v>60</v>
      </c>
      <c r="G31" s="27" t="n">
        <v>223</v>
      </c>
      <c r="H31" s="27" t="n">
        <v>219</v>
      </c>
    </row>
    <row r="33" customFormat="false" ht="15" hidden="false" customHeight="false" outlineLevel="0" collapsed="false">
      <c r="A33" s="1" t="s">
        <v>61</v>
      </c>
      <c r="F33" s="7" t="s">
        <v>62</v>
      </c>
    </row>
    <row r="34" customFormat="false" ht="15" hidden="false" customHeight="false" outlineLevel="0" collapsed="false">
      <c r="A34" s="1" t="s">
        <v>63</v>
      </c>
      <c r="F34" s="10" t="s">
        <v>64</v>
      </c>
    </row>
    <row r="35" customFormat="false" ht="15" hidden="false" customHeight="false" outlineLevel="0" collapsed="false">
      <c r="F35" s="10" t="s">
        <v>65</v>
      </c>
    </row>
    <row r="36" s="1" customFormat="true" ht="15" hidden="false" customHeight="false" outlineLevel="0" collapsed="false">
      <c r="A36" s="1" t="s">
        <v>66</v>
      </c>
      <c r="C36" s="11" t="s">
        <v>67</v>
      </c>
      <c r="F36" s="10" t="s">
        <v>68</v>
      </c>
    </row>
    <row r="37" customFormat="false" ht="15" hidden="false" customHeight="false" outlineLevel="0" collapsed="false">
      <c r="F37" s="10" t="s">
        <v>69</v>
      </c>
    </row>
  </sheetData>
  <hyperlinks>
    <hyperlink ref="D3" r:id="rId1" location="!/details" display="UK Data Archive"/>
    <hyperlink ref="F3" r:id="rId2" display="/secure/im/im3/project/hbai/released/gross4"/>
    <hyperlink ref="A7" location="'HBAI Variable Changes 1718+'!A1" display="HBAI Variable Changes 1718+"/>
    <hyperlink ref="A9" location="'HBAI Main &amp; Backseries Dataset'!A1" display="HBAI Main and Backseries Dataset"/>
    <hyperlink ref="A12" location="'HBAI Resamples Dataset'!A1" display="HBAI Resamples Dataset"/>
    <hyperlink ref="A14" location="'HBAI Income Adjustments'!A1" display="HBAI Income Adjustments"/>
    <hyperlink ref="A16" location="'HBAI Deflators'!A1" display="HBAI Deflators"/>
    <hyperlink ref="C36" r:id="rId3" display="HBAI 1994-95 to 2018-19 gov.uk homepage"/>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G57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A240" activePane="bottomLeft" state="frozen"/>
      <selection pane="topLeft" activeCell="A1" activeCellId="0" sqref="A1"/>
      <selection pane="bottomLeft" activeCell="B1" activeCellId="1" sqref="C275:D279 B1"/>
    </sheetView>
  </sheetViews>
  <sheetFormatPr defaultRowHeight="12.75" zeroHeight="false" outlineLevelRow="0" outlineLevelCol="0"/>
  <cols>
    <col collapsed="false" customWidth="true" hidden="false" outlineLevel="0" max="1" min="1" style="44" width="23.83"/>
    <col collapsed="false" customWidth="true" hidden="false" outlineLevel="0" max="2" min="2" style="45" width="66.33"/>
    <col collapsed="false" customWidth="true" hidden="false" outlineLevel="0" max="3" min="3" style="45" width="21.61"/>
    <col collapsed="false" customWidth="true" hidden="false" outlineLevel="0" max="4" min="4" style="45" width="19.16"/>
    <col collapsed="false" customWidth="true" hidden="false" outlineLevel="0" max="5" min="5" style="45" width="39.22"/>
    <col collapsed="false" customWidth="true" hidden="false" outlineLevel="0" max="6" min="6" style="45" width="22"/>
    <col collapsed="false" customWidth="true" hidden="false" outlineLevel="0" max="7" min="7" style="46" width="5.11"/>
    <col collapsed="false" customWidth="true" hidden="false" outlineLevel="0" max="1025" min="8" style="44" width="8.89"/>
  </cols>
  <sheetData>
    <row r="1" s="52" customFormat="true" ht="13.15" hidden="false" customHeight="false" outlineLevel="0" collapsed="false">
      <c r="A1" s="47" t="s">
        <v>70</v>
      </c>
      <c r="B1" s="48"/>
      <c r="C1" s="49"/>
      <c r="D1" s="50"/>
      <c r="E1" s="50"/>
      <c r="F1" s="50"/>
      <c r="G1" s="51"/>
    </row>
    <row r="2" customFormat="false" ht="12.75" hidden="false" customHeight="false" outlineLevel="0" collapsed="false">
      <c r="A2" s="44" t="s">
        <v>71</v>
      </c>
      <c r="B2" s="53"/>
    </row>
    <row r="3" customFormat="false" ht="13.15" hidden="false" customHeight="false" outlineLevel="0" collapsed="false"/>
    <row r="4" s="57" customFormat="true" ht="26.65" hidden="false" customHeight="false" outlineLevel="0" collapsed="false">
      <c r="A4" s="54" t="s">
        <v>72</v>
      </c>
      <c r="B4" s="55" t="s">
        <v>73</v>
      </c>
      <c r="C4" s="56" t="s">
        <v>74</v>
      </c>
      <c r="D4" s="56" t="s">
        <v>75</v>
      </c>
      <c r="E4" s="56" t="s">
        <v>76</v>
      </c>
      <c r="F4" s="56" t="s">
        <v>77</v>
      </c>
      <c r="G4" s="56"/>
    </row>
    <row r="5" customFormat="false" ht="12.75" hidden="false" customHeight="false" outlineLevel="0" collapsed="false">
      <c r="A5" s="58" t="s">
        <v>78</v>
      </c>
      <c r="B5" s="59" t="s">
        <v>79</v>
      </c>
      <c r="C5" s="60" t="s">
        <v>80</v>
      </c>
      <c r="D5" s="61" t="s">
        <v>81</v>
      </c>
      <c r="E5" s="61" t="s">
        <v>82</v>
      </c>
      <c r="F5" s="60"/>
    </row>
    <row r="6" customFormat="false" ht="12.75" hidden="false" customHeight="false" outlineLevel="0" collapsed="false">
      <c r="A6" s="58" t="s">
        <v>83</v>
      </c>
      <c r="B6" s="59" t="s">
        <v>84</v>
      </c>
      <c r="C6" s="60" t="s">
        <v>80</v>
      </c>
      <c r="D6" s="61" t="s">
        <v>81</v>
      </c>
      <c r="E6" s="61" t="s">
        <v>82</v>
      </c>
      <c r="F6" s="60"/>
    </row>
    <row r="7" customFormat="false" ht="12.75" hidden="false" customHeight="false" outlineLevel="0" collapsed="false">
      <c r="A7" s="58"/>
      <c r="B7" s="59"/>
      <c r="C7" s="60"/>
      <c r="D7" s="61"/>
      <c r="E7" s="61"/>
      <c r="F7" s="60"/>
      <c r="G7" s="45"/>
    </row>
    <row r="8" customFormat="false" ht="12.75" hidden="false" customHeight="false" outlineLevel="0" collapsed="false">
      <c r="A8" s="58" t="s">
        <v>85</v>
      </c>
      <c r="B8" s="59" t="s">
        <v>86</v>
      </c>
      <c r="C8" s="60" t="s">
        <v>87</v>
      </c>
      <c r="D8" s="61" t="s">
        <v>81</v>
      </c>
      <c r="E8" s="61" t="s">
        <v>88</v>
      </c>
      <c r="F8" s="60"/>
      <c r="G8" s="45"/>
    </row>
    <row r="9" customFormat="false" ht="12.75" hidden="false" customHeight="false" outlineLevel="0" collapsed="false">
      <c r="A9" s="58" t="s">
        <v>89</v>
      </c>
      <c r="B9" s="59" t="s">
        <v>90</v>
      </c>
      <c r="C9" s="60" t="s">
        <v>87</v>
      </c>
      <c r="D9" s="61" t="s">
        <v>81</v>
      </c>
      <c r="E9" s="61" t="s">
        <v>88</v>
      </c>
      <c r="F9" s="60"/>
      <c r="G9" s="45"/>
    </row>
    <row r="10" customFormat="false" ht="12.75" hidden="false" customHeight="false" outlineLevel="0" collapsed="false">
      <c r="A10" s="58"/>
      <c r="B10" s="59"/>
      <c r="C10" s="60"/>
      <c r="D10" s="61"/>
      <c r="E10" s="61"/>
      <c r="F10" s="60"/>
    </row>
    <row r="11" customFormat="false" ht="12.75" hidden="false" customHeight="false" outlineLevel="0" collapsed="false">
      <c r="A11" s="58" t="s">
        <v>91</v>
      </c>
      <c r="B11" s="59" t="s">
        <v>92</v>
      </c>
      <c r="C11" s="60" t="s">
        <v>80</v>
      </c>
      <c r="D11" s="61" t="s">
        <v>81</v>
      </c>
      <c r="E11" s="61" t="s">
        <v>93</v>
      </c>
      <c r="F11" s="60"/>
    </row>
    <row r="12" customFormat="false" ht="12.75" hidden="false" customHeight="false" outlineLevel="0" collapsed="false">
      <c r="A12" s="58" t="s">
        <v>94</v>
      </c>
      <c r="B12" s="59" t="s">
        <v>95</v>
      </c>
      <c r="C12" s="60" t="s">
        <v>80</v>
      </c>
      <c r="D12" s="61" t="s">
        <v>81</v>
      </c>
      <c r="E12" s="61" t="s">
        <v>96</v>
      </c>
      <c r="F12" s="60"/>
      <c r="G12" s="45"/>
    </row>
    <row r="13" customFormat="false" ht="12.75" hidden="false" customHeight="false" outlineLevel="0" collapsed="false">
      <c r="A13" s="58" t="s">
        <v>97</v>
      </c>
      <c r="B13" s="59" t="s">
        <v>98</v>
      </c>
      <c r="C13" s="60" t="s">
        <v>87</v>
      </c>
      <c r="D13" s="61" t="s">
        <v>81</v>
      </c>
      <c r="E13" s="61" t="s">
        <v>93</v>
      </c>
      <c r="F13" s="60"/>
      <c r="G13" s="45"/>
    </row>
    <row r="14" customFormat="false" ht="12.75" hidden="false" customHeight="false" outlineLevel="0" collapsed="false">
      <c r="A14" s="58" t="s">
        <v>99</v>
      </c>
      <c r="B14" s="59" t="s">
        <v>100</v>
      </c>
      <c r="C14" s="60" t="s">
        <v>87</v>
      </c>
      <c r="D14" s="61" t="s">
        <v>81</v>
      </c>
      <c r="E14" s="61" t="s">
        <v>101</v>
      </c>
      <c r="F14" s="60"/>
      <c r="G14" s="45"/>
    </row>
    <row r="15" customFormat="false" ht="12.75" hidden="false" customHeight="false" outlineLevel="0" collapsed="false">
      <c r="A15" s="58"/>
      <c r="B15" s="59"/>
      <c r="C15" s="60"/>
      <c r="D15" s="61"/>
      <c r="E15" s="61"/>
      <c r="F15" s="60"/>
    </row>
    <row r="16" customFormat="false" ht="12.75" hidden="false" customHeight="false" outlineLevel="0" collapsed="false">
      <c r="A16" s="58" t="s">
        <v>102</v>
      </c>
      <c r="B16" s="59" t="s">
        <v>103</v>
      </c>
      <c r="C16" s="60" t="s">
        <v>87</v>
      </c>
      <c r="D16" s="61" t="s">
        <v>81</v>
      </c>
      <c r="E16" s="61" t="s">
        <v>88</v>
      </c>
      <c r="F16" s="60"/>
    </row>
    <row r="17" customFormat="false" ht="12.75" hidden="false" customHeight="false" outlineLevel="0" collapsed="false">
      <c r="A17" s="58" t="s">
        <v>104</v>
      </c>
      <c r="B17" s="59" t="s">
        <v>105</v>
      </c>
      <c r="C17" s="60" t="s">
        <v>106</v>
      </c>
      <c r="D17" s="61" t="s">
        <v>107</v>
      </c>
      <c r="E17" s="61" t="s">
        <v>88</v>
      </c>
      <c r="F17" s="60" t="s">
        <v>108</v>
      </c>
    </row>
    <row r="18" customFormat="false" ht="12.75" hidden="false" customHeight="false" outlineLevel="0" collapsed="false">
      <c r="A18" s="58" t="s">
        <v>109</v>
      </c>
      <c r="B18" s="59" t="s">
        <v>110</v>
      </c>
      <c r="C18" s="60" t="s">
        <v>106</v>
      </c>
      <c r="D18" s="61" t="s">
        <v>111</v>
      </c>
      <c r="E18" s="61" t="s">
        <v>88</v>
      </c>
      <c r="F18" s="60" t="s">
        <v>108</v>
      </c>
    </row>
    <row r="19" customFormat="false" ht="12.75" hidden="false" customHeight="false" outlineLevel="0" collapsed="false">
      <c r="A19" s="58" t="s">
        <v>112</v>
      </c>
      <c r="B19" s="59" t="s">
        <v>113</v>
      </c>
      <c r="C19" s="60" t="s">
        <v>80</v>
      </c>
      <c r="D19" s="61" t="s">
        <v>81</v>
      </c>
      <c r="E19" s="61" t="s">
        <v>88</v>
      </c>
      <c r="F19" s="60"/>
    </row>
    <row r="20" customFormat="false" ht="12.75" hidden="false" customHeight="false" outlineLevel="0" collapsed="false">
      <c r="A20" s="58" t="s">
        <v>114</v>
      </c>
      <c r="B20" s="59" t="s">
        <v>115</v>
      </c>
      <c r="C20" s="60" t="s">
        <v>80</v>
      </c>
      <c r="D20" s="61" t="s">
        <v>81</v>
      </c>
      <c r="E20" s="61" t="s">
        <v>88</v>
      </c>
      <c r="F20" s="60"/>
    </row>
    <row r="21" customFormat="false" ht="12.75" hidden="false" customHeight="false" outlineLevel="0" collapsed="false">
      <c r="A21" s="58"/>
      <c r="B21" s="59"/>
      <c r="C21" s="60"/>
      <c r="D21" s="61"/>
      <c r="E21" s="61"/>
      <c r="F21" s="60"/>
    </row>
    <row r="22" customFormat="false" ht="12.75" hidden="false" customHeight="false" outlineLevel="0" collapsed="false">
      <c r="A22" s="58" t="s">
        <v>116</v>
      </c>
      <c r="B22" s="59" t="str">
        <f aca="false">'HBAI Main &amp; Backseries Datasets'!C28</f>
        <v>Asian Ethnicity Group</v>
      </c>
      <c r="C22" s="60" t="s">
        <v>80</v>
      </c>
      <c r="D22" s="61" t="s">
        <v>81</v>
      </c>
      <c r="E22" s="61" t="s">
        <v>88</v>
      </c>
      <c r="F22" s="60"/>
    </row>
    <row r="23" customFormat="false" ht="12.75" hidden="false" customHeight="false" outlineLevel="0" collapsed="false">
      <c r="A23" s="58"/>
      <c r="B23" s="59"/>
      <c r="C23" s="60"/>
      <c r="D23" s="61"/>
      <c r="E23" s="61"/>
      <c r="F23" s="60"/>
    </row>
    <row r="24" customFormat="false" ht="12.75" hidden="false" customHeight="false" outlineLevel="0" collapsed="false">
      <c r="A24" s="58" t="s">
        <v>117</v>
      </c>
      <c r="B24" s="59" t="s">
        <v>118</v>
      </c>
      <c r="C24" s="60" t="s">
        <v>87</v>
      </c>
      <c r="D24" s="61" t="s">
        <v>81</v>
      </c>
      <c r="E24" s="61" t="s">
        <v>88</v>
      </c>
      <c r="F24" s="60"/>
      <c r="G24" s="45"/>
    </row>
    <row r="25" customFormat="false" ht="12.75" hidden="false" customHeight="false" outlineLevel="0" collapsed="false">
      <c r="A25" s="58"/>
      <c r="B25" s="59"/>
      <c r="C25" s="60"/>
      <c r="D25" s="61"/>
      <c r="E25" s="61"/>
      <c r="F25" s="60"/>
      <c r="G25" s="45"/>
    </row>
    <row r="26" customFormat="false" ht="12.75" hidden="false" customHeight="false" outlineLevel="0" collapsed="false">
      <c r="A26" s="58" t="s">
        <v>119</v>
      </c>
      <c r="B26" s="59" t="s">
        <v>120</v>
      </c>
      <c r="C26" s="60" t="s">
        <v>87</v>
      </c>
      <c r="D26" s="61" t="s">
        <v>81</v>
      </c>
      <c r="E26" s="61" t="s">
        <v>88</v>
      </c>
      <c r="F26" s="60"/>
      <c r="G26" s="45"/>
    </row>
    <row r="27" customFormat="false" ht="12.75" hidden="false" customHeight="false" outlineLevel="0" collapsed="false">
      <c r="A27" s="58"/>
      <c r="B27" s="59"/>
      <c r="C27" s="60"/>
      <c r="D27" s="61"/>
      <c r="E27" s="61"/>
      <c r="F27" s="60"/>
      <c r="G27" s="45"/>
    </row>
    <row r="28" customFormat="false" ht="12.75" hidden="false" customHeight="false" outlineLevel="0" collapsed="false">
      <c r="A28" s="58" t="s">
        <v>121</v>
      </c>
      <c r="B28" s="59" t="s">
        <v>122</v>
      </c>
      <c r="C28" s="60" t="s">
        <v>87</v>
      </c>
      <c r="D28" s="61" t="s">
        <v>81</v>
      </c>
      <c r="E28" s="61" t="s">
        <v>88</v>
      </c>
      <c r="F28" s="60"/>
      <c r="G28" s="45"/>
    </row>
    <row r="29" customFormat="false" ht="12.75" hidden="false" customHeight="false" outlineLevel="0" collapsed="false">
      <c r="A29" s="58" t="s">
        <v>123</v>
      </c>
      <c r="B29" s="59" t="s">
        <v>124</v>
      </c>
      <c r="C29" s="60" t="s">
        <v>80</v>
      </c>
      <c r="D29" s="61" t="s">
        <v>81</v>
      </c>
      <c r="E29" s="61" t="s">
        <v>88</v>
      </c>
      <c r="F29" s="60"/>
      <c r="G29" s="45"/>
    </row>
    <row r="30" customFormat="false" ht="12.75" hidden="false" customHeight="false" outlineLevel="0" collapsed="false">
      <c r="A30" s="58" t="s">
        <v>125</v>
      </c>
      <c r="B30" s="59" t="s">
        <v>126</v>
      </c>
      <c r="C30" s="60" t="s">
        <v>80</v>
      </c>
      <c r="D30" s="61" t="s">
        <v>81</v>
      </c>
      <c r="E30" s="61" t="s">
        <v>88</v>
      </c>
      <c r="F30" s="60"/>
      <c r="G30" s="45"/>
    </row>
    <row r="31" customFormat="false" ht="12.75" hidden="false" customHeight="false" outlineLevel="0" collapsed="false">
      <c r="A31" s="58" t="s">
        <v>127</v>
      </c>
      <c r="B31" s="59" t="s">
        <v>128</v>
      </c>
      <c r="C31" s="60" t="s">
        <v>106</v>
      </c>
      <c r="D31" s="61" t="s">
        <v>129</v>
      </c>
      <c r="E31" s="61" t="s">
        <v>88</v>
      </c>
      <c r="F31" s="60" t="s">
        <v>130</v>
      </c>
      <c r="G31" s="45"/>
    </row>
    <row r="32" customFormat="false" ht="12.75" hidden="false" customHeight="false" outlineLevel="0" collapsed="false">
      <c r="A32" s="58" t="s">
        <v>131</v>
      </c>
      <c r="B32" s="59" t="s">
        <v>132</v>
      </c>
      <c r="C32" s="60" t="s">
        <v>106</v>
      </c>
      <c r="D32" s="61" t="s">
        <v>111</v>
      </c>
      <c r="E32" s="61" t="s">
        <v>88</v>
      </c>
      <c r="F32" s="60" t="s">
        <v>130</v>
      </c>
      <c r="G32" s="45"/>
    </row>
    <row r="33" customFormat="false" ht="12.75" hidden="false" customHeight="false" outlineLevel="0" collapsed="false">
      <c r="A33" s="58" t="s">
        <v>133</v>
      </c>
      <c r="B33" s="59" t="s">
        <v>134</v>
      </c>
      <c r="C33" s="60" t="s">
        <v>106</v>
      </c>
      <c r="D33" s="61" t="s">
        <v>135</v>
      </c>
      <c r="E33" s="61" t="s">
        <v>88</v>
      </c>
      <c r="F33" s="60" t="s">
        <v>130</v>
      </c>
      <c r="G33" s="45"/>
    </row>
    <row r="34" customFormat="false" ht="12.75" hidden="false" customHeight="false" outlineLevel="0" collapsed="false">
      <c r="A34" s="58" t="s">
        <v>136</v>
      </c>
      <c r="B34" s="59" t="s">
        <v>137</v>
      </c>
      <c r="C34" s="60" t="s">
        <v>106</v>
      </c>
      <c r="D34" s="61" t="s">
        <v>129</v>
      </c>
      <c r="E34" s="61" t="s">
        <v>88</v>
      </c>
      <c r="F34" s="60" t="s">
        <v>130</v>
      </c>
      <c r="G34" s="45"/>
    </row>
    <row r="35" customFormat="false" ht="12.75" hidden="false" customHeight="false" outlineLevel="0" collapsed="false">
      <c r="A35" s="58" t="s">
        <v>138</v>
      </c>
      <c r="B35" s="59" t="s">
        <v>139</v>
      </c>
      <c r="C35" s="60" t="s">
        <v>106</v>
      </c>
      <c r="D35" s="61" t="s">
        <v>107</v>
      </c>
      <c r="E35" s="61" t="s">
        <v>88</v>
      </c>
      <c r="F35" s="60" t="s">
        <v>130</v>
      </c>
      <c r="G35" s="45"/>
    </row>
    <row r="36" customFormat="false" ht="12.75" hidden="false" customHeight="false" outlineLevel="0" collapsed="false">
      <c r="A36" s="58"/>
      <c r="B36" s="59"/>
      <c r="C36" s="60"/>
      <c r="D36" s="61"/>
      <c r="E36" s="61"/>
      <c r="F36" s="60"/>
      <c r="G36" s="45"/>
    </row>
    <row r="37" customFormat="false" ht="12.75" hidden="false" customHeight="false" outlineLevel="0" collapsed="false">
      <c r="A37" s="58" t="s">
        <v>140</v>
      </c>
      <c r="B37" s="59" t="s">
        <v>141</v>
      </c>
      <c r="C37" s="60" t="s">
        <v>87</v>
      </c>
      <c r="D37" s="61" t="s">
        <v>81</v>
      </c>
      <c r="E37" s="61" t="s">
        <v>88</v>
      </c>
      <c r="F37" s="60"/>
      <c r="G37" s="45"/>
    </row>
    <row r="38" customFormat="false" ht="12.75" hidden="false" customHeight="false" outlineLevel="0" collapsed="false">
      <c r="A38" s="58"/>
      <c r="B38" s="59"/>
      <c r="C38" s="60"/>
      <c r="D38" s="61"/>
      <c r="E38" s="61"/>
      <c r="F38" s="60"/>
      <c r="G38" s="45"/>
    </row>
    <row r="39" customFormat="false" ht="12.75" hidden="false" customHeight="false" outlineLevel="0" collapsed="false">
      <c r="A39" s="58" t="s">
        <v>142</v>
      </c>
      <c r="B39" s="59" t="s">
        <v>143</v>
      </c>
      <c r="C39" s="60" t="s">
        <v>80</v>
      </c>
      <c r="D39" s="61" t="s">
        <v>81</v>
      </c>
      <c r="E39" s="61" t="s">
        <v>88</v>
      </c>
      <c r="F39" s="60"/>
      <c r="G39" s="45"/>
    </row>
    <row r="40" customFormat="false" ht="12.75" hidden="false" customHeight="false" outlineLevel="0" collapsed="false">
      <c r="A40" s="58"/>
      <c r="B40" s="59"/>
      <c r="C40" s="60"/>
      <c r="D40" s="61"/>
      <c r="E40" s="61"/>
      <c r="F40" s="60"/>
      <c r="G40" s="45"/>
    </row>
    <row r="41" customFormat="false" ht="12.75" hidden="false" customHeight="false" outlineLevel="0" collapsed="false">
      <c r="A41" s="58" t="s">
        <v>144</v>
      </c>
      <c r="B41" s="59" t="s">
        <v>145</v>
      </c>
      <c r="C41" s="60" t="s">
        <v>87</v>
      </c>
      <c r="D41" s="61" t="s">
        <v>81</v>
      </c>
      <c r="E41" s="61" t="s">
        <v>82</v>
      </c>
      <c r="F41" s="60"/>
      <c r="G41" s="45"/>
    </row>
    <row r="42" customFormat="false" ht="12.75" hidden="false" customHeight="false" outlineLevel="0" collapsed="false">
      <c r="A42" s="58"/>
      <c r="B42" s="59"/>
      <c r="C42" s="60"/>
      <c r="D42" s="61"/>
      <c r="E42" s="61"/>
      <c r="F42" s="60"/>
      <c r="G42" s="45"/>
    </row>
    <row r="43" customFormat="false" ht="12.75" hidden="false" customHeight="false" outlineLevel="0" collapsed="false">
      <c r="A43" s="58" t="s">
        <v>146</v>
      </c>
      <c r="B43" s="59" t="s">
        <v>147</v>
      </c>
      <c r="C43" s="60" t="s">
        <v>87</v>
      </c>
      <c r="D43" s="61" t="s">
        <v>148</v>
      </c>
      <c r="E43" s="61" t="s">
        <v>82</v>
      </c>
      <c r="F43" s="60"/>
      <c r="G43" s="45"/>
    </row>
    <row r="44" customFormat="false" ht="12.75" hidden="false" customHeight="false" outlineLevel="0" collapsed="false">
      <c r="A44" s="58" t="s">
        <v>149</v>
      </c>
      <c r="B44" s="59" t="s">
        <v>150</v>
      </c>
      <c r="C44" s="60" t="s">
        <v>87</v>
      </c>
      <c r="D44" s="61" t="s">
        <v>148</v>
      </c>
      <c r="E44" s="61" t="s">
        <v>82</v>
      </c>
      <c r="F44" s="60"/>
      <c r="G44" s="45"/>
    </row>
    <row r="45" customFormat="false" ht="12.75" hidden="false" customHeight="false" outlineLevel="0" collapsed="false">
      <c r="A45" s="58"/>
      <c r="B45" s="59"/>
      <c r="C45" s="60"/>
      <c r="D45" s="61"/>
      <c r="E45" s="61"/>
      <c r="F45" s="60"/>
      <c r="G45" s="45"/>
    </row>
    <row r="46" customFormat="false" ht="12.75" hidden="false" customHeight="false" outlineLevel="0" collapsed="false">
      <c r="A46" s="58" t="s">
        <v>151</v>
      </c>
      <c r="B46" s="59" t="s">
        <v>152</v>
      </c>
      <c r="C46" s="60" t="s">
        <v>80</v>
      </c>
      <c r="D46" s="61" t="s">
        <v>153</v>
      </c>
      <c r="E46" s="61" t="s">
        <v>88</v>
      </c>
      <c r="F46" s="60"/>
      <c r="G46" s="45"/>
    </row>
    <row r="47" customFormat="false" ht="12.75" hidden="false" customHeight="false" outlineLevel="0" collapsed="false">
      <c r="A47" s="58"/>
      <c r="B47" s="59"/>
      <c r="C47" s="60"/>
      <c r="D47" s="61"/>
      <c r="E47" s="61"/>
      <c r="F47" s="60"/>
      <c r="G47" s="45"/>
    </row>
    <row r="48" customFormat="false" ht="12.75" hidden="false" customHeight="false" outlineLevel="0" collapsed="false">
      <c r="A48" s="58" t="s">
        <v>154</v>
      </c>
      <c r="B48" s="59" t="s">
        <v>155</v>
      </c>
      <c r="C48" s="60" t="s">
        <v>87</v>
      </c>
      <c r="D48" s="61" t="s">
        <v>156</v>
      </c>
      <c r="E48" s="61" t="s">
        <v>82</v>
      </c>
      <c r="F48" s="60"/>
      <c r="G48" s="45"/>
    </row>
    <row r="49" customFormat="false" ht="12.75" hidden="false" customHeight="false" outlineLevel="0" collapsed="false">
      <c r="A49" s="58"/>
      <c r="B49" s="59"/>
      <c r="C49" s="60"/>
      <c r="D49" s="61"/>
      <c r="E49" s="61"/>
      <c r="F49" s="60"/>
      <c r="G49" s="45"/>
    </row>
    <row r="50" customFormat="false" ht="12.75" hidden="false" customHeight="false" outlineLevel="0" collapsed="false">
      <c r="A50" s="58" t="s">
        <v>157</v>
      </c>
      <c r="B50" s="59" t="s">
        <v>158</v>
      </c>
      <c r="C50" s="60" t="s">
        <v>87</v>
      </c>
      <c r="D50" s="61" t="s">
        <v>81</v>
      </c>
      <c r="E50" s="61" t="s">
        <v>159</v>
      </c>
      <c r="F50" s="60"/>
      <c r="G50" s="45"/>
    </row>
    <row r="51" customFormat="false" ht="12.75" hidden="false" customHeight="false" outlineLevel="0" collapsed="false">
      <c r="A51" s="58" t="s">
        <v>160</v>
      </c>
      <c r="B51" s="59" t="s">
        <v>161</v>
      </c>
      <c r="C51" s="60" t="s">
        <v>87</v>
      </c>
      <c r="D51" s="61" t="s">
        <v>81</v>
      </c>
      <c r="E51" s="61" t="s">
        <v>82</v>
      </c>
      <c r="F51" s="60"/>
      <c r="G51" s="45"/>
    </row>
    <row r="52" customFormat="false" ht="12.75" hidden="false" customHeight="false" outlineLevel="0" collapsed="false">
      <c r="A52" s="58"/>
      <c r="B52" s="59"/>
      <c r="C52" s="60"/>
      <c r="D52" s="61"/>
      <c r="E52" s="61"/>
      <c r="F52" s="60"/>
    </row>
    <row r="53" customFormat="false" ht="12.75" hidden="false" customHeight="false" outlineLevel="0" collapsed="false">
      <c r="A53" s="58" t="s">
        <v>162</v>
      </c>
      <c r="B53" s="59" t="s">
        <v>163</v>
      </c>
      <c r="C53" s="60" t="s">
        <v>87</v>
      </c>
      <c r="D53" s="61" t="s">
        <v>164</v>
      </c>
      <c r="E53" s="61" t="s">
        <v>82</v>
      </c>
      <c r="F53" s="60"/>
    </row>
    <row r="54" customFormat="false" ht="12.75" hidden="false" customHeight="false" outlineLevel="0" collapsed="false">
      <c r="A54" s="58" t="s">
        <v>165</v>
      </c>
      <c r="B54" s="59" t="s">
        <v>166</v>
      </c>
      <c r="C54" s="60" t="s">
        <v>87</v>
      </c>
      <c r="D54" s="61" t="s">
        <v>167</v>
      </c>
      <c r="E54" s="61" t="s">
        <v>82</v>
      </c>
      <c r="F54" s="60"/>
    </row>
    <row r="55" customFormat="false" ht="12.75" hidden="false" customHeight="false" outlineLevel="0" collapsed="false">
      <c r="A55" s="58"/>
      <c r="B55" s="59"/>
      <c r="C55" s="60"/>
      <c r="D55" s="61"/>
      <c r="E55" s="61"/>
      <c r="F55" s="60"/>
      <c r="G55" s="45"/>
    </row>
    <row r="56" customFormat="false" ht="12.75" hidden="false" customHeight="false" outlineLevel="0" collapsed="false">
      <c r="A56" s="58" t="s">
        <v>168</v>
      </c>
      <c r="B56" s="59" t="s">
        <v>169</v>
      </c>
      <c r="C56" s="60" t="s">
        <v>87</v>
      </c>
      <c r="D56" s="61" t="s">
        <v>81</v>
      </c>
      <c r="E56" s="61" t="s">
        <v>88</v>
      </c>
      <c r="F56" s="60"/>
    </row>
    <row r="57" customFormat="false" ht="12.75" hidden="false" customHeight="false" outlineLevel="0" collapsed="false">
      <c r="A57" s="58" t="s">
        <v>170</v>
      </c>
      <c r="B57" s="59" t="s">
        <v>171</v>
      </c>
      <c r="C57" s="60" t="s">
        <v>87</v>
      </c>
      <c r="D57" s="61" t="s">
        <v>81</v>
      </c>
      <c r="E57" s="61" t="s">
        <v>88</v>
      </c>
      <c r="F57" s="60"/>
    </row>
    <row r="58" customFormat="false" ht="12.75" hidden="false" customHeight="false" outlineLevel="0" collapsed="false">
      <c r="A58" s="58"/>
      <c r="B58" s="59"/>
      <c r="C58" s="60"/>
      <c r="D58" s="61"/>
      <c r="E58" s="61"/>
      <c r="F58" s="60"/>
    </row>
    <row r="59" customFormat="false" ht="12.75" hidden="false" customHeight="false" outlineLevel="0" collapsed="false">
      <c r="A59" s="58" t="s">
        <v>172</v>
      </c>
      <c r="B59" s="59" t="s">
        <v>173</v>
      </c>
      <c r="C59" s="60" t="s">
        <v>87</v>
      </c>
      <c r="D59" s="61" t="s">
        <v>174</v>
      </c>
      <c r="E59" s="61" t="s">
        <v>88</v>
      </c>
      <c r="F59" s="60"/>
    </row>
    <row r="60" customFormat="false" ht="12.75" hidden="false" customHeight="false" outlineLevel="0" collapsed="false">
      <c r="A60" s="58" t="s">
        <v>175</v>
      </c>
      <c r="B60" s="59" t="s">
        <v>176</v>
      </c>
      <c r="C60" s="60" t="s">
        <v>177</v>
      </c>
      <c r="D60" s="61" t="s">
        <v>178</v>
      </c>
      <c r="E60" s="61" t="s">
        <v>88</v>
      </c>
      <c r="F60" s="60"/>
    </row>
    <row r="61" customFormat="false" ht="12.75" hidden="false" customHeight="false" outlineLevel="0" collapsed="false">
      <c r="A61" s="58"/>
      <c r="B61" s="59"/>
      <c r="C61" s="60"/>
      <c r="D61" s="61"/>
      <c r="E61" s="61"/>
      <c r="F61" s="60"/>
    </row>
    <row r="62" customFormat="false" ht="12.75" hidden="false" customHeight="false" outlineLevel="0" collapsed="false">
      <c r="A62" s="58" t="s">
        <v>179</v>
      </c>
      <c r="B62" s="59" t="s">
        <v>180</v>
      </c>
      <c r="C62" s="60" t="s">
        <v>87</v>
      </c>
      <c r="D62" s="61" t="s">
        <v>174</v>
      </c>
      <c r="E62" s="61" t="s">
        <v>88</v>
      </c>
      <c r="F62" s="60"/>
    </row>
    <row r="63" customFormat="false" ht="12.75" hidden="false" customHeight="false" outlineLevel="0" collapsed="false">
      <c r="A63" s="58" t="s">
        <v>181</v>
      </c>
      <c r="B63" s="59" t="s">
        <v>182</v>
      </c>
      <c r="C63" s="60" t="s">
        <v>183</v>
      </c>
      <c r="D63" s="61" t="s">
        <v>184</v>
      </c>
      <c r="E63" s="61" t="s">
        <v>88</v>
      </c>
      <c r="F63" s="60"/>
    </row>
    <row r="64" customFormat="false" ht="12.75" hidden="false" customHeight="false" outlineLevel="0" collapsed="false">
      <c r="A64" s="58"/>
      <c r="B64" s="59"/>
      <c r="C64" s="60"/>
      <c r="D64" s="61"/>
      <c r="E64" s="61"/>
      <c r="F64" s="60"/>
    </row>
    <row r="65" customFormat="false" ht="25.5" hidden="false" customHeight="false" outlineLevel="0" collapsed="false">
      <c r="A65" s="58" t="s">
        <v>185</v>
      </c>
      <c r="B65" s="59" t="s">
        <v>186</v>
      </c>
      <c r="C65" s="60" t="s">
        <v>87</v>
      </c>
      <c r="D65" s="61" t="s">
        <v>174</v>
      </c>
      <c r="E65" s="61" t="s">
        <v>88</v>
      </c>
      <c r="F65" s="60"/>
    </row>
    <row r="66" customFormat="false" ht="12.75" hidden="false" customHeight="false" outlineLevel="0" collapsed="false">
      <c r="A66" s="58" t="s">
        <v>187</v>
      </c>
      <c r="B66" s="59" t="s">
        <v>188</v>
      </c>
      <c r="C66" s="60" t="s">
        <v>189</v>
      </c>
      <c r="D66" s="61" t="s">
        <v>184</v>
      </c>
      <c r="E66" s="61" t="s">
        <v>88</v>
      </c>
      <c r="F66" s="60"/>
    </row>
    <row r="67" customFormat="false" ht="12.75" hidden="false" customHeight="false" outlineLevel="0" collapsed="false">
      <c r="A67" s="58"/>
      <c r="B67" s="59"/>
      <c r="C67" s="60"/>
      <c r="D67" s="61"/>
      <c r="E67" s="61"/>
      <c r="F67" s="60"/>
    </row>
    <row r="68" customFormat="false" ht="12.75" hidden="false" customHeight="false" outlineLevel="0" collapsed="false">
      <c r="A68" s="58" t="s">
        <v>190</v>
      </c>
      <c r="B68" s="59" t="s">
        <v>191</v>
      </c>
      <c r="C68" s="60" t="s">
        <v>87</v>
      </c>
      <c r="D68" s="61" t="s">
        <v>174</v>
      </c>
      <c r="E68" s="61" t="s">
        <v>88</v>
      </c>
      <c r="F68" s="60"/>
    </row>
    <row r="69" customFormat="false" ht="12.75" hidden="false" customHeight="false" outlineLevel="0" collapsed="false">
      <c r="A69" s="58" t="s">
        <v>192</v>
      </c>
      <c r="B69" s="59" t="s">
        <v>193</v>
      </c>
      <c r="C69" s="60" t="s">
        <v>194</v>
      </c>
      <c r="D69" s="61" t="s">
        <v>184</v>
      </c>
      <c r="E69" s="61" t="s">
        <v>88</v>
      </c>
      <c r="F69" s="60"/>
    </row>
    <row r="70" customFormat="false" ht="12.75" hidden="false" customHeight="false" outlineLevel="0" collapsed="false">
      <c r="A70" s="58"/>
      <c r="B70" s="59"/>
      <c r="C70" s="60"/>
      <c r="D70" s="61"/>
      <c r="E70" s="61"/>
      <c r="F70" s="60"/>
    </row>
    <row r="71" customFormat="false" ht="12.75" hidden="false" customHeight="false" outlineLevel="0" collapsed="false">
      <c r="A71" s="58" t="s">
        <v>195</v>
      </c>
      <c r="B71" s="59" t="s">
        <v>196</v>
      </c>
      <c r="C71" s="60" t="s">
        <v>87</v>
      </c>
      <c r="D71" s="61" t="s">
        <v>174</v>
      </c>
      <c r="E71" s="61" t="s">
        <v>88</v>
      </c>
      <c r="F71" s="60"/>
    </row>
    <row r="72" customFormat="false" ht="25.5" hidden="false" customHeight="false" outlineLevel="0" collapsed="false">
      <c r="A72" s="58" t="s">
        <v>197</v>
      </c>
      <c r="B72" s="59" t="s">
        <v>198</v>
      </c>
      <c r="C72" s="60" t="s">
        <v>199</v>
      </c>
      <c r="D72" s="61" t="s">
        <v>200</v>
      </c>
      <c r="E72" s="61" t="s">
        <v>88</v>
      </c>
      <c r="F72" s="60"/>
    </row>
    <row r="73" customFormat="false" ht="12.75" hidden="false" customHeight="false" outlineLevel="0" collapsed="false">
      <c r="A73" s="58"/>
      <c r="B73" s="59"/>
      <c r="C73" s="60"/>
      <c r="D73" s="61"/>
      <c r="E73" s="61"/>
      <c r="F73" s="60"/>
    </row>
    <row r="74" customFormat="false" ht="12.75" hidden="false" customHeight="false" outlineLevel="0" collapsed="false">
      <c r="A74" s="58" t="s">
        <v>201</v>
      </c>
      <c r="B74" s="59" t="s">
        <v>202</v>
      </c>
      <c r="C74" s="60" t="s">
        <v>87</v>
      </c>
      <c r="D74" s="61" t="s">
        <v>174</v>
      </c>
      <c r="E74" s="61" t="s">
        <v>88</v>
      </c>
      <c r="F74" s="60"/>
    </row>
    <row r="75" customFormat="false" ht="12.75" hidden="false" customHeight="false" outlineLevel="0" collapsed="false">
      <c r="A75" s="58" t="s">
        <v>203</v>
      </c>
      <c r="B75" s="59" t="s">
        <v>204</v>
      </c>
      <c r="C75" s="60" t="s">
        <v>205</v>
      </c>
      <c r="D75" s="61" t="s">
        <v>184</v>
      </c>
      <c r="E75" s="61" t="s">
        <v>88</v>
      </c>
      <c r="F75" s="60"/>
    </row>
    <row r="76" customFormat="false" ht="12.75" hidden="false" customHeight="false" outlineLevel="0" collapsed="false">
      <c r="A76" s="58"/>
      <c r="B76" s="59"/>
      <c r="C76" s="60"/>
      <c r="D76" s="61"/>
      <c r="E76" s="61"/>
      <c r="F76" s="60"/>
    </row>
    <row r="77" customFormat="false" ht="12.75" hidden="false" customHeight="false" outlineLevel="0" collapsed="false">
      <c r="A77" s="58" t="s">
        <v>206</v>
      </c>
      <c r="B77" s="59" t="s">
        <v>207</v>
      </c>
      <c r="C77" s="60" t="s">
        <v>87</v>
      </c>
      <c r="D77" s="61" t="s">
        <v>174</v>
      </c>
      <c r="E77" s="61" t="s">
        <v>88</v>
      </c>
      <c r="F77" s="60"/>
    </row>
    <row r="78" customFormat="false" ht="12.75" hidden="false" customHeight="false" outlineLevel="0" collapsed="false">
      <c r="A78" s="58" t="s">
        <v>208</v>
      </c>
      <c r="B78" s="59" t="s">
        <v>209</v>
      </c>
      <c r="C78" s="60" t="s">
        <v>210</v>
      </c>
      <c r="D78" s="61" t="s">
        <v>184</v>
      </c>
      <c r="E78" s="61" t="s">
        <v>88</v>
      </c>
      <c r="F78" s="60"/>
    </row>
    <row r="79" customFormat="false" ht="12.75" hidden="false" customHeight="false" outlineLevel="0" collapsed="false">
      <c r="A79" s="58"/>
      <c r="B79" s="59"/>
      <c r="C79" s="60"/>
      <c r="D79" s="61"/>
      <c r="E79" s="61"/>
      <c r="F79" s="60"/>
    </row>
    <row r="80" customFormat="false" ht="12.75" hidden="false" customHeight="false" outlineLevel="0" collapsed="false">
      <c r="A80" s="58" t="s">
        <v>211</v>
      </c>
      <c r="B80" s="59" t="s">
        <v>212</v>
      </c>
      <c r="C80" s="60" t="s">
        <v>87</v>
      </c>
      <c r="D80" s="61" t="s">
        <v>213</v>
      </c>
      <c r="E80" s="61" t="s">
        <v>82</v>
      </c>
      <c r="F80" s="60"/>
    </row>
    <row r="81" customFormat="false" ht="12.75" hidden="false" customHeight="false" outlineLevel="0" collapsed="false">
      <c r="A81" s="58"/>
      <c r="B81" s="59"/>
      <c r="C81" s="60"/>
      <c r="D81" s="61"/>
      <c r="E81" s="61"/>
      <c r="F81" s="60"/>
    </row>
    <row r="82" customFormat="false" ht="25.5" hidden="false" customHeight="false" outlineLevel="0" collapsed="false">
      <c r="A82" s="58" t="s">
        <v>214</v>
      </c>
      <c r="B82" s="59" t="s">
        <v>215</v>
      </c>
      <c r="C82" s="60" t="s">
        <v>106</v>
      </c>
      <c r="D82" s="61" t="s">
        <v>216</v>
      </c>
      <c r="E82" s="61" t="s">
        <v>82</v>
      </c>
      <c r="F82" s="60" t="s">
        <v>217</v>
      </c>
    </row>
    <row r="83" customFormat="false" ht="12.75" hidden="false" customHeight="false" outlineLevel="0" collapsed="false">
      <c r="A83" s="58" t="s">
        <v>218</v>
      </c>
      <c r="B83" s="59" t="s">
        <v>219</v>
      </c>
      <c r="C83" s="60" t="s">
        <v>87</v>
      </c>
      <c r="D83" s="61" t="s">
        <v>220</v>
      </c>
      <c r="E83" s="61" t="s">
        <v>82</v>
      </c>
      <c r="F83" s="60"/>
    </row>
    <row r="84" customFormat="false" ht="25.5" hidden="false" customHeight="false" outlineLevel="0" collapsed="false">
      <c r="A84" s="58" t="s">
        <v>221</v>
      </c>
      <c r="B84" s="59" t="s">
        <v>222</v>
      </c>
      <c r="C84" s="60" t="s">
        <v>223</v>
      </c>
      <c r="D84" s="61" t="s">
        <v>224</v>
      </c>
      <c r="E84" s="61" t="s">
        <v>82</v>
      </c>
      <c r="F84" s="60"/>
    </row>
    <row r="85" customFormat="false" ht="12.75" hidden="false" customHeight="false" outlineLevel="0" collapsed="false">
      <c r="A85" s="58"/>
      <c r="B85" s="59"/>
      <c r="C85" s="60"/>
      <c r="D85" s="61"/>
      <c r="E85" s="61"/>
      <c r="F85" s="60"/>
    </row>
    <row r="86" customFormat="false" ht="12.75" hidden="false" customHeight="false" outlineLevel="0" collapsed="false">
      <c r="A86" s="58" t="s">
        <v>225</v>
      </c>
      <c r="B86" s="59" t="s">
        <v>226</v>
      </c>
      <c r="C86" s="60" t="s">
        <v>87</v>
      </c>
      <c r="D86" s="61" t="s">
        <v>81</v>
      </c>
      <c r="E86" s="61" t="s">
        <v>82</v>
      </c>
      <c r="F86" s="60"/>
    </row>
    <row r="87" customFormat="false" ht="12.75" hidden="false" customHeight="false" outlineLevel="0" collapsed="false">
      <c r="A87" s="58" t="s">
        <v>227</v>
      </c>
      <c r="B87" s="59" t="s">
        <v>228</v>
      </c>
      <c r="C87" s="60" t="s">
        <v>87</v>
      </c>
      <c r="D87" s="61" t="s">
        <v>81</v>
      </c>
      <c r="E87" s="61" t="s">
        <v>82</v>
      </c>
      <c r="F87" s="60"/>
    </row>
    <row r="88" customFormat="false" ht="12.75" hidden="false" customHeight="false" outlineLevel="0" collapsed="false">
      <c r="A88" s="58"/>
      <c r="B88" s="59"/>
      <c r="C88" s="60"/>
      <c r="D88" s="61"/>
      <c r="E88" s="61"/>
      <c r="F88" s="60"/>
    </row>
    <row r="89" customFormat="false" ht="12.75" hidden="false" customHeight="false" outlineLevel="0" collapsed="false">
      <c r="A89" s="58" t="s">
        <v>229</v>
      </c>
      <c r="B89" s="59" t="s">
        <v>230</v>
      </c>
      <c r="C89" s="60" t="s">
        <v>87</v>
      </c>
      <c r="D89" s="61" t="s">
        <v>231</v>
      </c>
      <c r="E89" s="61" t="s">
        <v>88</v>
      </c>
      <c r="F89" s="60"/>
    </row>
    <row r="90" customFormat="false" ht="12.75" hidden="false" customHeight="false" outlineLevel="0" collapsed="false">
      <c r="A90" s="58"/>
      <c r="B90" s="59"/>
      <c r="C90" s="60"/>
      <c r="D90" s="61"/>
      <c r="E90" s="61"/>
      <c r="F90" s="60"/>
    </row>
    <row r="91" customFormat="false" ht="12.75" hidden="false" customHeight="false" outlineLevel="0" collapsed="false">
      <c r="A91" s="58" t="s">
        <v>232</v>
      </c>
      <c r="B91" s="59" t="s">
        <v>233</v>
      </c>
      <c r="C91" s="60" t="s">
        <v>87</v>
      </c>
      <c r="D91" s="61" t="s">
        <v>81</v>
      </c>
      <c r="E91" s="61" t="s">
        <v>82</v>
      </c>
      <c r="F91" s="60"/>
    </row>
    <row r="92" customFormat="false" ht="12.75" hidden="false" customHeight="false" outlineLevel="0" collapsed="false">
      <c r="A92" s="58" t="s">
        <v>234</v>
      </c>
      <c r="B92" s="59" t="s">
        <v>235</v>
      </c>
      <c r="C92" s="60" t="s">
        <v>87</v>
      </c>
      <c r="D92" s="61" t="s">
        <v>81</v>
      </c>
      <c r="E92" s="61" t="s">
        <v>82</v>
      </c>
      <c r="F92" s="60"/>
    </row>
    <row r="93" customFormat="false" ht="12.75" hidden="false" customHeight="false" outlineLevel="0" collapsed="false">
      <c r="A93" s="58"/>
      <c r="B93" s="59"/>
      <c r="C93" s="60"/>
      <c r="D93" s="61"/>
      <c r="E93" s="61"/>
      <c r="F93" s="60"/>
    </row>
    <row r="94" customFormat="false" ht="12.75" hidden="false" customHeight="false" outlineLevel="0" collapsed="false">
      <c r="A94" s="58" t="s">
        <v>236</v>
      </c>
      <c r="B94" s="59" t="s">
        <v>237</v>
      </c>
      <c r="C94" s="60" t="s">
        <v>87</v>
      </c>
      <c r="D94" s="61" t="s">
        <v>81</v>
      </c>
      <c r="E94" s="61" t="s">
        <v>82</v>
      </c>
      <c r="F94" s="60"/>
    </row>
    <row r="95" customFormat="false" ht="12.75" hidden="false" customHeight="false" outlineLevel="0" collapsed="false">
      <c r="A95" s="58" t="s">
        <v>238</v>
      </c>
      <c r="B95" s="59" t="s">
        <v>239</v>
      </c>
      <c r="C95" s="60" t="s">
        <v>87</v>
      </c>
      <c r="D95" s="61" t="s">
        <v>81</v>
      </c>
      <c r="E95" s="61" t="s">
        <v>82</v>
      </c>
      <c r="F95" s="60"/>
    </row>
    <row r="96" customFormat="false" ht="12.75" hidden="false" customHeight="false" outlineLevel="0" collapsed="false">
      <c r="A96" s="58"/>
      <c r="B96" s="59"/>
      <c r="C96" s="60"/>
      <c r="D96" s="61"/>
      <c r="E96" s="61"/>
      <c r="F96" s="60"/>
    </row>
    <row r="97" customFormat="false" ht="12.75" hidden="false" customHeight="false" outlineLevel="0" collapsed="false">
      <c r="A97" s="58" t="s">
        <v>240</v>
      </c>
      <c r="B97" s="59" t="s">
        <v>241</v>
      </c>
      <c r="C97" s="60" t="s">
        <v>87</v>
      </c>
      <c r="D97" s="61" t="s">
        <v>81</v>
      </c>
      <c r="E97" s="61" t="s">
        <v>82</v>
      </c>
      <c r="F97" s="60"/>
    </row>
    <row r="98" customFormat="false" ht="12.75" hidden="false" customHeight="false" outlineLevel="0" collapsed="false">
      <c r="A98" s="58"/>
      <c r="B98" s="59"/>
      <c r="C98" s="60"/>
      <c r="D98" s="61"/>
      <c r="E98" s="61"/>
      <c r="F98" s="60"/>
    </row>
    <row r="99" customFormat="false" ht="12.75" hidden="false" customHeight="false" outlineLevel="0" collapsed="false">
      <c r="A99" s="58" t="s">
        <v>242</v>
      </c>
      <c r="B99" s="59" t="s">
        <v>243</v>
      </c>
      <c r="C99" s="60" t="s">
        <v>87</v>
      </c>
      <c r="D99" s="61" t="s">
        <v>81</v>
      </c>
      <c r="E99" s="61" t="s">
        <v>82</v>
      </c>
      <c r="F99" s="60"/>
    </row>
    <row r="100" customFormat="false" ht="12.75" hidden="false" customHeight="false" outlineLevel="0" collapsed="false">
      <c r="A100" s="58"/>
      <c r="B100" s="59"/>
      <c r="C100" s="60"/>
      <c r="D100" s="61"/>
      <c r="E100" s="61"/>
      <c r="F100" s="60"/>
    </row>
    <row r="101" customFormat="false" ht="12.75" hidden="false" customHeight="false" outlineLevel="0" collapsed="false">
      <c r="A101" s="58" t="s">
        <v>244</v>
      </c>
      <c r="B101" s="59" t="s">
        <v>245</v>
      </c>
      <c r="C101" s="60" t="s">
        <v>87</v>
      </c>
      <c r="D101" s="61" t="s">
        <v>81</v>
      </c>
      <c r="E101" s="61" t="s">
        <v>82</v>
      </c>
      <c r="F101" s="60"/>
    </row>
    <row r="102" customFormat="false" ht="12.75" hidden="false" customHeight="false" outlineLevel="0" collapsed="false">
      <c r="A102" s="58" t="s">
        <v>246</v>
      </c>
      <c r="B102" s="59" t="s">
        <v>247</v>
      </c>
      <c r="C102" s="60" t="s">
        <v>87</v>
      </c>
      <c r="D102" s="61" t="s">
        <v>81</v>
      </c>
      <c r="E102" s="61" t="s">
        <v>82</v>
      </c>
      <c r="F102" s="60"/>
    </row>
    <row r="103" customFormat="false" ht="12.75" hidden="false" customHeight="false" outlineLevel="0" collapsed="false">
      <c r="A103" s="58"/>
      <c r="B103" s="59"/>
      <c r="C103" s="60"/>
      <c r="D103" s="61"/>
      <c r="E103" s="61"/>
      <c r="F103" s="60"/>
    </row>
    <row r="104" customFormat="false" ht="12.75" hidden="false" customHeight="false" outlineLevel="0" collapsed="false">
      <c r="A104" s="58" t="s">
        <v>248</v>
      </c>
      <c r="B104" s="59" t="s">
        <v>249</v>
      </c>
      <c r="C104" s="60" t="s">
        <v>87</v>
      </c>
      <c r="D104" s="61" t="s">
        <v>81</v>
      </c>
      <c r="E104" s="61" t="s">
        <v>82</v>
      </c>
      <c r="F104" s="60"/>
    </row>
    <row r="105" customFormat="false" ht="12.75" hidden="false" customHeight="false" outlineLevel="0" collapsed="false">
      <c r="A105" s="58" t="s">
        <v>250</v>
      </c>
      <c r="B105" s="59" t="s">
        <v>251</v>
      </c>
      <c r="C105" s="60" t="s">
        <v>87</v>
      </c>
      <c r="D105" s="61" t="s">
        <v>81</v>
      </c>
      <c r="E105" s="61" t="s">
        <v>82</v>
      </c>
      <c r="F105" s="60"/>
    </row>
    <row r="106" customFormat="false" ht="12.75" hidden="false" customHeight="false" outlineLevel="0" collapsed="false">
      <c r="A106" s="58"/>
      <c r="B106" s="59"/>
      <c r="C106" s="60"/>
      <c r="D106" s="61"/>
      <c r="E106" s="61"/>
      <c r="F106" s="60"/>
    </row>
    <row r="107" customFormat="false" ht="12.75" hidden="false" customHeight="false" outlineLevel="0" collapsed="false">
      <c r="A107" s="58" t="s">
        <v>252</v>
      </c>
      <c r="B107" s="59" t="s">
        <v>253</v>
      </c>
      <c r="C107" s="60" t="s">
        <v>106</v>
      </c>
      <c r="D107" s="61" t="s">
        <v>216</v>
      </c>
      <c r="E107" s="61" t="s">
        <v>82</v>
      </c>
      <c r="F107" s="60" t="s">
        <v>254</v>
      </c>
    </row>
    <row r="108" customFormat="false" ht="12.75" hidden="false" customHeight="false" outlineLevel="0" collapsed="false">
      <c r="A108" s="58" t="s">
        <v>255</v>
      </c>
      <c r="B108" s="59" t="s">
        <v>256</v>
      </c>
      <c r="C108" s="60" t="s">
        <v>106</v>
      </c>
      <c r="D108" s="61" t="s">
        <v>216</v>
      </c>
      <c r="E108" s="61" t="s">
        <v>82</v>
      </c>
      <c r="F108" s="60" t="s">
        <v>257</v>
      </c>
    </row>
    <row r="109" customFormat="false" ht="12.75" hidden="false" customHeight="false" outlineLevel="0" collapsed="false">
      <c r="A109" s="58"/>
      <c r="B109" s="59"/>
      <c r="C109" s="60"/>
      <c r="D109" s="61"/>
      <c r="E109" s="61"/>
      <c r="F109" s="60"/>
    </row>
    <row r="110" customFormat="false" ht="12.75" hidden="false" customHeight="false" outlineLevel="0" collapsed="false">
      <c r="A110" s="58" t="s">
        <v>258</v>
      </c>
      <c r="B110" s="59" t="s">
        <v>259</v>
      </c>
      <c r="C110" s="60" t="s">
        <v>87</v>
      </c>
      <c r="D110" s="61" t="s">
        <v>220</v>
      </c>
      <c r="E110" s="61" t="s">
        <v>82</v>
      </c>
      <c r="F110" s="60"/>
    </row>
    <row r="111" customFormat="false" ht="12.75" hidden="false" customHeight="false" outlineLevel="0" collapsed="false">
      <c r="A111" s="58" t="s">
        <v>260</v>
      </c>
      <c r="B111" s="59" t="s">
        <v>261</v>
      </c>
      <c r="C111" s="60" t="s">
        <v>262</v>
      </c>
      <c r="D111" s="61" t="s">
        <v>224</v>
      </c>
      <c r="E111" s="61" t="s">
        <v>82</v>
      </c>
      <c r="F111" s="60"/>
    </row>
    <row r="112" customFormat="false" ht="12.75" hidden="false" customHeight="false" outlineLevel="0" collapsed="false">
      <c r="A112" s="58"/>
      <c r="B112" s="59"/>
      <c r="C112" s="60"/>
      <c r="D112" s="61"/>
      <c r="E112" s="61"/>
      <c r="F112" s="60"/>
    </row>
    <row r="113" customFormat="false" ht="12.75" hidden="false" customHeight="false" outlineLevel="0" collapsed="false">
      <c r="A113" s="58" t="s">
        <v>263</v>
      </c>
      <c r="B113" s="59" t="s">
        <v>264</v>
      </c>
      <c r="C113" s="60" t="s">
        <v>87</v>
      </c>
      <c r="D113" s="61" t="s">
        <v>220</v>
      </c>
      <c r="E113" s="61" t="s">
        <v>82</v>
      </c>
      <c r="F113" s="60"/>
    </row>
    <row r="114" customFormat="false" ht="12.75" hidden="false" customHeight="false" outlineLevel="0" collapsed="false">
      <c r="A114" s="58" t="s">
        <v>265</v>
      </c>
      <c r="B114" s="59" t="s">
        <v>266</v>
      </c>
      <c r="C114" s="60" t="s">
        <v>267</v>
      </c>
      <c r="D114" s="61" t="s">
        <v>224</v>
      </c>
      <c r="E114" s="61" t="s">
        <v>82</v>
      </c>
      <c r="F114" s="60"/>
    </row>
    <row r="115" customFormat="false" ht="12.75" hidden="false" customHeight="false" outlineLevel="0" collapsed="false">
      <c r="A115" s="58"/>
      <c r="B115" s="59"/>
      <c r="C115" s="60"/>
      <c r="D115" s="61"/>
      <c r="E115" s="61"/>
      <c r="F115" s="60"/>
    </row>
    <row r="116" customFormat="false" ht="12.75" hidden="false" customHeight="false" outlineLevel="0" collapsed="false">
      <c r="A116" s="58" t="s">
        <v>268</v>
      </c>
      <c r="B116" s="59" t="s">
        <v>269</v>
      </c>
      <c r="C116" s="60" t="s">
        <v>106</v>
      </c>
      <c r="D116" s="61" t="s">
        <v>216</v>
      </c>
      <c r="E116" s="61" t="s">
        <v>82</v>
      </c>
      <c r="F116" s="60" t="s">
        <v>270</v>
      </c>
    </row>
    <row r="117" customFormat="false" ht="12.75" hidden="false" customHeight="false" outlineLevel="0" collapsed="false">
      <c r="A117" s="58" t="s">
        <v>271</v>
      </c>
      <c r="B117" s="59" t="s">
        <v>272</v>
      </c>
      <c r="C117" s="60" t="s">
        <v>106</v>
      </c>
      <c r="D117" s="61" t="s">
        <v>216</v>
      </c>
      <c r="E117" s="61" t="s">
        <v>82</v>
      </c>
      <c r="F117" s="60" t="s">
        <v>273</v>
      </c>
    </row>
    <row r="118" customFormat="false" ht="12.75" hidden="false" customHeight="false" outlineLevel="0" collapsed="false">
      <c r="A118" s="58"/>
      <c r="B118" s="59"/>
      <c r="C118" s="60"/>
      <c r="D118" s="61"/>
      <c r="E118" s="61"/>
      <c r="F118" s="60"/>
    </row>
    <row r="119" customFormat="false" ht="12.75" hidden="false" customHeight="false" outlineLevel="0" collapsed="false">
      <c r="A119" s="58" t="s">
        <v>274</v>
      </c>
      <c r="B119" s="59" t="s">
        <v>275</v>
      </c>
      <c r="C119" s="60" t="s">
        <v>276</v>
      </c>
      <c r="D119" s="61" t="s">
        <v>224</v>
      </c>
      <c r="E119" s="61" t="s">
        <v>82</v>
      </c>
      <c r="F119" s="60"/>
    </row>
    <row r="120" customFormat="false" ht="12.75" hidden="false" customHeight="false" outlineLevel="0" collapsed="false">
      <c r="A120" s="58" t="s">
        <v>277</v>
      </c>
      <c r="B120" s="59" t="s">
        <v>278</v>
      </c>
      <c r="C120" s="60" t="s">
        <v>87</v>
      </c>
      <c r="D120" s="61" t="s">
        <v>220</v>
      </c>
      <c r="E120" s="61" t="s">
        <v>82</v>
      </c>
      <c r="F120" s="60"/>
    </row>
    <row r="121" customFormat="false" ht="12.75" hidden="false" customHeight="false" outlineLevel="0" collapsed="false">
      <c r="A121" s="58"/>
      <c r="B121" s="59"/>
      <c r="C121" s="60"/>
      <c r="D121" s="61"/>
      <c r="E121" s="61"/>
      <c r="F121" s="60"/>
    </row>
    <row r="122" customFormat="false" ht="12.75" hidden="false" customHeight="false" outlineLevel="0" collapsed="false">
      <c r="A122" s="58" t="s">
        <v>279</v>
      </c>
      <c r="B122" s="59" t="s">
        <v>280</v>
      </c>
      <c r="C122" s="60" t="s">
        <v>281</v>
      </c>
      <c r="D122" s="61" t="s">
        <v>224</v>
      </c>
      <c r="E122" s="61" t="s">
        <v>82</v>
      </c>
      <c r="F122" s="60"/>
    </row>
    <row r="123" customFormat="false" ht="12.75" hidden="false" customHeight="false" outlineLevel="0" collapsed="false">
      <c r="A123" s="58" t="s">
        <v>282</v>
      </c>
      <c r="B123" s="59" t="s">
        <v>283</v>
      </c>
      <c r="C123" s="60" t="s">
        <v>87</v>
      </c>
      <c r="D123" s="61" t="s">
        <v>220</v>
      </c>
      <c r="E123" s="61" t="s">
        <v>82</v>
      </c>
      <c r="F123" s="60"/>
    </row>
    <row r="124" customFormat="false" ht="12.75" hidden="false" customHeight="false" outlineLevel="0" collapsed="false">
      <c r="A124" s="58"/>
      <c r="B124" s="59"/>
      <c r="C124" s="60"/>
      <c r="D124" s="61"/>
      <c r="E124" s="61"/>
      <c r="F124" s="60"/>
    </row>
    <row r="125" customFormat="false" ht="12.75" hidden="false" customHeight="false" outlineLevel="0" collapsed="false">
      <c r="A125" s="58" t="s">
        <v>284</v>
      </c>
      <c r="B125" s="59" t="s">
        <v>285</v>
      </c>
      <c r="C125" s="60" t="s">
        <v>87</v>
      </c>
      <c r="D125" s="61" t="s">
        <v>81</v>
      </c>
      <c r="E125" s="61" t="s">
        <v>82</v>
      </c>
      <c r="F125" s="60"/>
    </row>
    <row r="126" customFormat="false" ht="12.75" hidden="false" customHeight="false" outlineLevel="0" collapsed="false">
      <c r="A126" s="58" t="s">
        <v>286</v>
      </c>
      <c r="B126" s="59" t="s">
        <v>287</v>
      </c>
      <c r="C126" s="60" t="s">
        <v>87</v>
      </c>
      <c r="D126" s="61" t="s">
        <v>81</v>
      </c>
      <c r="E126" s="61" t="s">
        <v>82</v>
      </c>
      <c r="F126" s="60"/>
    </row>
    <row r="127" customFormat="false" ht="12.75" hidden="false" customHeight="false" outlineLevel="0" collapsed="false">
      <c r="A127" s="58"/>
      <c r="B127" s="59"/>
      <c r="C127" s="60"/>
      <c r="D127" s="61"/>
      <c r="E127" s="61"/>
      <c r="F127" s="60"/>
    </row>
    <row r="128" customFormat="false" ht="12.75" hidden="false" customHeight="false" outlineLevel="0" collapsed="false">
      <c r="A128" s="58" t="s">
        <v>288</v>
      </c>
      <c r="B128" s="59" t="s">
        <v>289</v>
      </c>
      <c r="C128" s="60" t="s">
        <v>106</v>
      </c>
      <c r="D128" s="61" t="s">
        <v>290</v>
      </c>
      <c r="E128" s="61" t="s">
        <v>88</v>
      </c>
      <c r="F128" s="60" t="s">
        <v>291</v>
      </c>
    </row>
    <row r="129" customFormat="false" ht="12.75" hidden="false" customHeight="false" outlineLevel="0" collapsed="false">
      <c r="A129" s="58" t="s">
        <v>292</v>
      </c>
      <c r="B129" s="59" t="s">
        <v>293</v>
      </c>
      <c r="C129" s="60" t="s">
        <v>106</v>
      </c>
      <c r="D129" s="61" t="s">
        <v>216</v>
      </c>
      <c r="E129" s="61" t="s">
        <v>88</v>
      </c>
      <c r="F129" s="60"/>
    </row>
    <row r="130" customFormat="false" ht="12.75" hidden="false" customHeight="false" outlineLevel="0" collapsed="false">
      <c r="A130" s="58" t="s">
        <v>294</v>
      </c>
      <c r="B130" s="59" t="s">
        <v>295</v>
      </c>
      <c r="C130" s="60" t="s">
        <v>106</v>
      </c>
      <c r="D130" s="61" t="s">
        <v>290</v>
      </c>
      <c r="E130" s="61" t="s">
        <v>88</v>
      </c>
      <c r="F130" s="60" t="s">
        <v>296</v>
      </c>
    </row>
    <row r="131" customFormat="false" ht="12.75" hidden="false" customHeight="false" outlineLevel="0" collapsed="false">
      <c r="A131" s="58" t="s">
        <v>297</v>
      </c>
      <c r="B131" s="59" t="s">
        <v>298</v>
      </c>
      <c r="C131" s="60" t="s">
        <v>106</v>
      </c>
      <c r="D131" s="61" t="s">
        <v>216</v>
      </c>
      <c r="E131" s="61" t="s">
        <v>88</v>
      </c>
      <c r="F131" s="60"/>
    </row>
    <row r="132" customFormat="false" ht="12.75" hidden="false" customHeight="false" outlineLevel="0" collapsed="false">
      <c r="A132" s="58"/>
      <c r="B132" s="59"/>
      <c r="C132" s="60"/>
      <c r="D132" s="61"/>
      <c r="E132" s="61"/>
      <c r="F132" s="60"/>
    </row>
    <row r="133" customFormat="false" ht="12.75" hidden="false" customHeight="false" outlineLevel="0" collapsed="false">
      <c r="A133" s="58" t="s">
        <v>299</v>
      </c>
      <c r="B133" s="59" t="s">
        <v>300</v>
      </c>
      <c r="C133" s="60" t="s">
        <v>106</v>
      </c>
      <c r="D133" s="61" t="s">
        <v>216</v>
      </c>
      <c r="E133" s="61" t="s">
        <v>88</v>
      </c>
      <c r="F133" s="60"/>
    </row>
    <row r="134" customFormat="false" ht="12.75" hidden="false" customHeight="false" outlineLevel="0" collapsed="false">
      <c r="A134" s="58"/>
      <c r="B134" s="59"/>
      <c r="C134" s="60"/>
      <c r="D134" s="61"/>
      <c r="E134" s="61"/>
      <c r="F134" s="60"/>
    </row>
    <row r="135" customFormat="false" ht="12.75" hidden="false" customHeight="false" outlineLevel="0" collapsed="false">
      <c r="A135" s="58" t="s">
        <v>301</v>
      </c>
      <c r="B135" s="59" t="s">
        <v>302</v>
      </c>
      <c r="C135" s="60" t="s">
        <v>87</v>
      </c>
      <c r="D135" s="61" t="s">
        <v>81</v>
      </c>
      <c r="E135" s="61" t="s">
        <v>88</v>
      </c>
      <c r="F135" s="60"/>
    </row>
    <row r="136" customFormat="false" ht="12.75" hidden="false" customHeight="false" outlineLevel="0" collapsed="false">
      <c r="A136" s="58" t="s">
        <v>303</v>
      </c>
      <c r="B136" s="59" t="s">
        <v>304</v>
      </c>
      <c r="C136" s="60" t="s">
        <v>87</v>
      </c>
      <c r="D136" s="61" t="s">
        <v>81</v>
      </c>
      <c r="E136" s="61" t="s">
        <v>88</v>
      </c>
      <c r="F136" s="60"/>
    </row>
    <row r="137" customFormat="false" ht="12.75" hidden="false" customHeight="false" outlineLevel="0" collapsed="false">
      <c r="A137" s="58"/>
      <c r="B137" s="59"/>
      <c r="C137" s="60"/>
      <c r="D137" s="61"/>
      <c r="E137" s="61"/>
      <c r="F137" s="60"/>
    </row>
    <row r="138" customFormat="false" ht="12.75" hidden="false" customHeight="false" outlineLevel="0" collapsed="false">
      <c r="A138" s="58" t="s">
        <v>305</v>
      </c>
      <c r="B138" s="59" t="s">
        <v>306</v>
      </c>
      <c r="C138" s="60" t="s">
        <v>87</v>
      </c>
      <c r="D138" s="61" t="s">
        <v>81</v>
      </c>
      <c r="E138" s="61" t="s">
        <v>82</v>
      </c>
      <c r="F138" s="60"/>
    </row>
    <row r="139" customFormat="false" ht="12.75" hidden="false" customHeight="false" outlineLevel="0" collapsed="false">
      <c r="A139" s="58" t="s">
        <v>307</v>
      </c>
      <c r="B139" s="59" t="s">
        <v>308</v>
      </c>
      <c r="C139" s="60" t="s">
        <v>87</v>
      </c>
      <c r="D139" s="61" t="s">
        <v>81</v>
      </c>
      <c r="E139" s="61" t="s">
        <v>82</v>
      </c>
      <c r="F139" s="60"/>
    </row>
    <row r="140" customFormat="false" ht="12.75" hidden="false" customHeight="false" outlineLevel="0" collapsed="false">
      <c r="A140" s="58"/>
      <c r="B140" s="59"/>
      <c r="C140" s="60"/>
      <c r="D140" s="61"/>
      <c r="E140" s="61"/>
      <c r="F140" s="60"/>
    </row>
    <row r="141" customFormat="false" ht="12.75" hidden="false" customHeight="false" outlineLevel="0" collapsed="false">
      <c r="A141" s="58" t="s">
        <v>309</v>
      </c>
      <c r="B141" s="59" t="s">
        <v>310</v>
      </c>
      <c r="C141" s="60" t="s">
        <v>106</v>
      </c>
      <c r="D141" s="61" t="s">
        <v>216</v>
      </c>
      <c r="E141" s="61" t="s">
        <v>88</v>
      </c>
      <c r="F141" s="60" t="s">
        <v>311</v>
      </c>
    </row>
    <row r="142" customFormat="false" ht="12.75" hidden="false" customHeight="false" outlineLevel="0" collapsed="false">
      <c r="A142" s="58" t="s">
        <v>312</v>
      </c>
      <c r="B142" s="59" t="s">
        <v>313</v>
      </c>
      <c r="C142" s="60" t="s">
        <v>106</v>
      </c>
      <c r="D142" s="61" t="s">
        <v>216</v>
      </c>
      <c r="E142" s="61" t="s">
        <v>88</v>
      </c>
      <c r="F142" s="60" t="s">
        <v>314</v>
      </c>
    </row>
    <row r="143" customFormat="false" ht="12.75" hidden="false" customHeight="false" outlineLevel="0" collapsed="false">
      <c r="A143" s="58" t="s">
        <v>315</v>
      </c>
      <c r="B143" s="59" t="s">
        <v>316</v>
      </c>
      <c r="C143" s="60" t="s">
        <v>106</v>
      </c>
      <c r="D143" s="61" t="s">
        <v>216</v>
      </c>
      <c r="E143" s="61" t="s">
        <v>88</v>
      </c>
      <c r="F143" s="60" t="s">
        <v>317</v>
      </c>
    </row>
    <row r="144" customFormat="false" ht="12.75" hidden="false" customHeight="false" outlineLevel="0" collapsed="false">
      <c r="A144" s="58" t="s">
        <v>318</v>
      </c>
      <c r="B144" s="59" t="s">
        <v>319</v>
      </c>
      <c r="C144" s="60" t="s">
        <v>106</v>
      </c>
      <c r="D144" s="61" t="s">
        <v>216</v>
      </c>
      <c r="E144" s="61" t="s">
        <v>88</v>
      </c>
      <c r="F144" s="60" t="s">
        <v>320</v>
      </c>
    </row>
    <row r="145" customFormat="false" ht="12.75" hidden="false" customHeight="false" outlineLevel="0" collapsed="false">
      <c r="A145" s="58"/>
      <c r="B145" s="59"/>
      <c r="C145" s="60"/>
      <c r="D145" s="61"/>
      <c r="E145" s="61"/>
      <c r="F145" s="60"/>
    </row>
    <row r="146" customFormat="false" ht="12.75" hidden="false" customHeight="false" outlineLevel="0" collapsed="false">
      <c r="A146" s="58" t="s">
        <v>321</v>
      </c>
      <c r="B146" s="59" t="s">
        <v>322</v>
      </c>
      <c r="C146" s="60" t="s">
        <v>106</v>
      </c>
      <c r="D146" s="61" t="s">
        <v>323</v>
      </c>
      <c r="E146" s="61" t="s">
        <v>88</v>
      </c>
      <c r="F146" s="60"/>
    </row>
    <row r="147" customFormat="false" ht="12.75" hidden="false" customHeight="false" outlineLevel="0" collapsed="false">
      <c r="A147" s="58" t="s">
        <v>324</v>
      </c>
      <c r="B147" s="59" t="s">
        <v>325</v>
      </c>
      <c r="C147" s="60" t="s">
        <v>106</v>
      </c>
      <c r="D147" s="61" t="s">
        <v>323</v>
      </c>
      <c r="E147" s="61" t="s">
        <v>88</v>
      </c>
      <c r="F147" s="60"/>
    </row>
    <row r="148" customFormat="false" ht="12.75" hidden="false" customHeight="false" outlineLevel="0" collapsed="false">
      <c r="A148" s="58"/>
      <c r="B148" s="59"/>
      <c r="C148" s="60"/>
      <c r="D148" s="61"/>
      <c r="E148" s="61"/>
      <c r="F148" s="60"/>
    </row>
    <row r="149" customFormat="false" ht="12.75" hidden="false" customHeight="false" outlineLevel="0" collapsed="false">
      <c r="A149" s="58" t="s">
        <v>326</v>
      </c>
      <c r="B149" s="59" t="s">
        <v>327</v>
      </c>
      <c r="C149" s="60" t="s">
        <v>87</v>
      </c>
      <c r="D149" s="61" t="s">
        <v>328</v>
      </c>
      <c r="E149" s="61" t="s">
        <v>88</v>
      </c>
      <c r="F149" s="60"/>
    </row>
    <row r="150" customFormat="false" ht="12.75" hidden="false" customHeight="false" outlineLevel="0" collapsed="false">
      <c r="A150" s="58" t="s">
        <v>329</v>
      </c>
      <c r="B150" s="59" t="s">
        <v>330</v>
      </c>
      <c r="C150" s="60" t="s">
        <v>331</v>
      </c>
      <c r="D150" s="61" t="s">
        <v>224</v>
      </c>
      <c r="E150" s="61" t="s">
        <v>88</v>
      </c>
      <c r="F150" s="60"/>
    </row>
    <row r="151" customFormat="false" ht="12.75" hidden="false" customHeight="false" outlineLevel="0" collapsed="false">
      <c r="A151" s="58"/>
      <c r="B151" s="59"/>
      <c r="C151" s="60"/>
      <c r="D151" s="61"/>
      <c r="E151" s="61"/>
      <c r="F151" s="60"/>
    </row>
    <row r="152" customFormat="false" ht="12.75" hidden="false" customHeight="false" outlineLevel="0" collapsed="false">
      <c r="A152" s="58" t="s">
        <v>332</v>
      </c>
      <c r="B152" s="59" t="s">
        <v>333</v>
      </c>
      <c r="C152" s="60" t="s">
        <v>87</v>
      </c>
      <c r="D152" s="61" t="s">
        <v>328</v>
      </c>
      <c r="E152" s="61" t="s">
        <v>88</v>
      </c>
      <c r="F152" s="60"/>
    </row>
    <row r="153" customFormat="false" ht="12.75" hidden="false" customHeight="false" outlineLevel="0" collapsed="false">
      <c r="A153" s="58" t="s">
        <v>334</v>
      </c>
      <c r="B153" s="59" t="s">
        <v>335</v>
      </c>
      <c r="C153" s="60" t="s">
        <v>336</v>
      </c>
      <c r="D153" s="61" t="s">
        <v>337</v>
      </c>
      <c r="E153" s="61" t="s">
        <v>88</v>
      </c>
      <c r="F153" s="60"/>
    </row>
    <row r="154" customFormat="false" ht="12.75" hidden="false" customHeight="false" outlineLevel="0" collapsed="false">
      <c r="A154" s="58"/>
      <c r="B154" s="59"/>
      <c r="C154" s="60"/>
      <c r="D154" s="61"/>
      <c r="E154" s="61"/>
      <c r="F154" s="60"/>
    </row>
    <row r="155" customFormat="false" ht="12.75" hidden="false" customHeight="false" outlineLevel="0" collapsed="false">
      <c r="A155" s="58" t="s">
        <v>338</v>
      </c>
      <c r="B155" s="59" t="s">
        <v>339</v>
      </c>
      <c r="C155" s="60" t="s">
        <v>87</v>
      </c>
      <c r="D155" s="61" t="s">
        <v>328</v>
      </c>
      <c r="E155" s="61" t="s">
        <v>88</v>
      </c>
      <c r="F155" s="60"/>
    </row>
    <row r="156" customFormat="false" ht="12.75" hidden="false" customHeight="false" outlineLevel="0" collapsed="false">
      <c r="A156" s="58" t="s">
        <v>340</v>
      </c>
      <c r="B156" s="59" t="s">
        <v>341</v>
      </c>
      <c r="C156" s="60" t="s">
        <v>342</v>
      </c>
      <c r="D156" s="61" t="s">
        <v>224</v>
      </c>
      <c r="E156" s="61" t="s">
        <v>88</v>
      </c>
      <c r="F156" s="60"/>
    </row>
    <row r="157" customFormat="false" ht="12.75" hidden="false" customHeight="false" outlineLevel="0" collapsed="false">
      <c r="A157" s="58"/>
      <c r="B157" s="59"/>
      <c r="C157" s="60"/>
      <c r="D157" s="61"/>
      <c r="E157" s="61"/>
      <c r="F157" s="60"/>
    </row>
    <row r="158" customFormat="false" ht="12.75" hidden="false" customHeight="false" outlineLevel="0" collapsed="false">
      <c r="A158" s="58" t="s">
        <v>343</v>
      </c>
      <c r="B158" s="59" t="s">
        <v>344</v>
      </c>
      <c r="C158" s="60" t="s">
        <v>87</v>
      </c>
      <c r="D158" s="61" t="s">
        <v>328</v>
      </c>
      <c r="E158" s="61" t="s">
        <v>88</v>
      </c>
      <c r="F158" s="60"/>
    </row>
    <row r="159" customFormat="false" ht="12.75" hidden="false" customHeight="false" outlineLevel="0" collapsed="false">
      <c r="A159" s="58" t="s">
        <v>345</v>
      </c>
      <c r="B159" s="59" t="s">
        <v>346</v>
      </c>
      <c r="C159" s="60" t="s">
        <v>347</v>
      </c>
      <c r="D159" s="61" t="s">
        <v>224</v>
      </c>
      <c r="E159" s="61" t="s">
        <v>88</v>
      </c>
      <c r="F159" s="60"/>
    </row>
    <row r="160" customFormat="false" ht="12.75" hidden="false" customHeight="false" outlineLevel="0" collapsed="false">
      <c r="A160" s="58"/>
      <c r="B160" s="59"/>
      <c r="C160" s="60"/>
      <c r="D160" s="61"/>
      <c r="E160" s="61"/>
      <c r="F160" s="60"/>
    </row>
    <row r="161" customFormat="false" ht="12.75" hidden="false" customHeight="false" outlineLevel="0" collapsed="false">
      <c r="A161" s="58" t="s">
        <v>348</v>
      </c>
      <c r="B161" s="59" t="s">
        <v>349</v>
      </c>
      <c r="C161" s="60" t="s">
        <v>106</v>
      </c>
      <c r="D161" s="61" t="s">
        <v>216</v>
      </c>
      <c r="E161" s="61" t="s">
        <v>82</v>
      </c>
      <c r="F161" s="60" t="s">
        <v>350</v>
      </c>
    </row>
    <row r="162" customFormat="false" ht="12.75" hidden="false" customHeight="false" outlineLevel="0" collapsed="false">
      <c r="A162" s="58" t="s">
        <v>351</v>
      </c>
      <c r="B162" s="59" t="s">
        <v>352</v>
      </c>
      <c r="C162" s="60" t="s">
        <v>87</v>
      </c>
      <c r="D162" s="61" t="s">
        <v>353</v>
      </c>
      <c r="E162" s="61" t="s">
        <v>82</v>
      </c>
      <c r="F162" s="60"/>
    </row>
    <row r="163" customFormat="false" ht="12.75" hidden="false" customHeight="false" outlineLevel="0" collapsed="false">
      <c r="A163" s="58" t="s">
        <v>354</v>
      </c>
      <c r="B163" s="59" t="s">
        <v>355</v>
      </c>
      <c r="C163" s="60" t="s">
        <v>356</v>
      </c>
      <c r="D163" s="61" t="s">
        <v>224</v>
      </c>
      <c r="E163" s="61" t="s">
        <v>82</v>
      </c>
      <c r="F163" s="60"/>
    </row>
    <row r="164" customFormat="false" ht="12.75" hidden="false" customHeight="false" outlineLevel="0" collapsed="false">
      <c r="A164" s="58"/>
      <c r="B164" s="59"/>
      <c r="C164" s="60"/>
      <c r="D164" s="61"/>
      <c r="E164" s="61"/>
      <c r="F164" s="60"/>
    </row>
    <row r="165" customFormat="false" ht="12.75" hidden="false" customHeight="false" outlineLevel="0" collapsed="false">
      <c r="A165" s="58" t="s">
        <v>357</v>
      </c>
      <c r="B165" s="59" t="s">
        <v>358</v>
      </c>
      <c r="C165" s="60" t="s">
        <v>106</v>
      </c>
      <c r="D165" s="61" t="s">
        <v>216</v>
      </c>
      <c r="E165" s="61" t="s">
        <v>82</v>
      </c>
      <c r="F165" s="60" t="s">
        <v>359</v>
      </c>
    </row>
    <row r="166" customFormat="false" ht="12.75" hidden="false" customHeight="false" outlineLevel="0" collapsed="false">
      <c r="A166" s="58" t="s">
        <v>360</v>
      </c>
      <c r="B166" s="59" t="s">
        <v>361</v>
      </c>
      <c r="C166" s="60" t="s">
        <v>87</v>
      </c>
      <c r="D166" s="61" t="s">
        <v>353</v>
      </c>
      <c r="E166" s="61" t="s">
        <v>82</v>
      </c>
      <c r="F166" s="60"/>
    </row>
    <row r="167" customFormat="false" ht="12.75" hidden="false" customHeight="false" outlineLevel="0" collapsed="false">
      <c r="A167" s="58" t="s">
        <v>362</v>
      </c>
      <c r="B167" s="59" t="s">
        <v>363</v>
      </c>
      <c r="C167" s="60" t="s">
        <v>364</v>
      </c>
      <c r="D167" s="61" t="s">
        <v>224</v>
      </c>
      <c r="E167" s="61" t="s">
        <v>82</v>
      </c>
      <c r="F167" s="60"/>
    </row>
    <row r="168" customFormat="false" ht="12.75" hidden="false" customHeight="false" outlineLevel="0" collapsed="false">
      <c r="A168" s="58"/>
      <c r="B168" s="59"/>
      <c r="C168" s="60"/>
      <c r="D168" s="61"/>
      <c r="E168" s="61"/>
      <c r="F168" s="60"/>
    </row>
    <row r="169" customFormat="false" ht="12.75" hidden="false" customHeight="false" outlineLevel="0" collapsed="false">
      <c r="A169" s="58" t="s">
        <v>365</v>
      </c>
      <c r="B169" s="59" t="s">
        <v>366</v>
      </c>
      <c r="C169" s="60" t="s">
        <v>87</v>
      </c>
      <c r="D169" s="61" t="s">
        <v>81</v>
      </c>
      <c r="E169" s="61" t="s">
        <v>82</v>
      </c>
      <c r="F169" s="60"/>
    </row>
    <row r="170" customFormat="false" ht="12.75" hidden="false" customHeight="false" outlineLevel="0" collapsed="false">
      <c r="A170" s="58" t="s">
        <v>367</v>
      </c>
      <c r="B170" s="59" t="s">
        <v>368</v>
      </c>
      <c r="C170" s="60" t="s">
        <v>87</v>
      </c>
      <c r="D170" s="61" t="s">
        <v>369</v>
      </c>
      <c r="E170" s="61" t="s">
        <v>82</v>
      </c>
      <c r="F170" s="60"/>
    </row>
    <row r="171" customFormat="false" ht="12.75" hidden="false" customHeight="false" outlineLevel="0" collapsed="false">
      <c r="A171" s="58" t="s">
        <v>370</v>
      </c>
      <c r="B171" s="59" t="s">
        <v>371</v>
      </c>
      <c r="C171" s="60" t="s">
        <v>87</v>
      </c>
      <c r="D171" s="61" t="s">
        <v>81</v>
      </c>
      <c r="E171" s="61" t="s">
        <v>82</v>
      </c>
      <c r="F171" s="60"/>
    </row>
    <row r="172" customFormat="false" ht="12.75" hidden="false" customHeight="false" outlineLevel="0" collapsed="false">
      <c r="A172" s="58" t="s">
        <v>372</v>
      </c>
      <c r="B172" s="59" t="s">
        <v>373</v>
      </c>
      <c r="C172" s="60" t="s">
        <v>87</v>
      </c>
      <c r="D172" s="61" t="s">
        <v>369</v>
      </c>
      <c r="E172" s="61" t="s">
        <v>82</v>
      </c>
      <c r="F172" s="60"/>
    </row>
    <row r="173" customFormat="false" ht="12.75" hidden="false" customHeight="false" outlineLevel="0" collapsed="false">
      <c r="A173" s="58"/>
      <c r="B173" s="59"/>
      <c r="C173" s="60"/>
      <c r="D173" s="61"/>
      <c r="E173" s="61"/>
      <c r="F173" s="60"/>
    </row>
    <row r="174" customFormat="false" ht="12.75" hidden="false" customHeight="false" outlineLevel="0" collapsed="false">
      <c r="A174" s="58" t="s">
        <v>374</v>
      </c>
      <c r="B174" s="59" t="s">
        <v>375</v>
      </c>
      <c r="C174" s="60" t="s">
        <v>87</v>
      </c>
      <c r="D174" s="61" t="s">
        <v>81</v>
      </c>
      <c r="E174" s="61" t="s">
        <v>82</v>
      </c>
      <c r="F174" s="60"/>
    </row>
    <row r="175" customFormat="false" ht="12.75" hidden="false" customHeight="false" outlineLevel="0" collapsed="false">
      <c r="A175" s="58" t="s">
        <v>376</v>
      </c>
      <c r="B175" s="59" t="s">
        <v>377</v>
      </c>
      <c r="C175" s="60" t="s">
        <v>87</v>
      </c>
      <c r="D175" s="61" t="s">
        <v>81</v>
      </c>
      <c r="E175" s="61" t="s">
        <v>82</v>
      </c>
      <c r="F175" s="60"/>
    </row>
    <row r="176" customFormat="false" ht="12.75" hidden="false" customHeight="false" outlineLevel="0" collapsed="false">
      <c r="A176" s="58"/>
      <c r="B176" s="59"/>
      <c r="C176" s="60"/>
      <c r="D176" s="61"/>
      <c r="E176" s="61"/>
      <c r="F176" s="60"/>
    </row>
    <row r="177" customFormat="false" ht="12.75" hidden="false" customHeight="false" outlineLevel="0" collapsed="false">
      <c r="A177" s="58" t="s">
        <v>378</v>
      </c>
      <c r="B177" s="59" t="s">
        <v>379</v>
      </c>
      <c r="C177" s="60" t="s">
        <v>87</v>
      </c>
      <c r="D177" s="61" t="s">
        <v>81</v>
      </c>
      <c r="E177" s="61" t="s">
        <v>82</v>
      </c>
      <c r="F177" s="60"/>
    </row>
    <row r="178" customFormat="false" ht="12.75" hidden="false" customHeight="false" outlineLevel="0" collapsed="false">
      <c r="A178" s="58" t="s">
        <v>380</v>
      </c>
      <c r="B178" s="59" t="s">
        <v>381</v>
      </c>
      <c r="C178" s="60" t="s">
        <v>87</v>
      </c>
      <c r="D178" s="61" t="s">
        <v>369</v>
      </c>
      <c r="E178" s="61" t="s">
        <v>82</v>
      </c>
      <c r="F178" s="60"/>
    </row>
    <row r="179" customFormat="false" ht="12.75" hidden="false" customHeight="false" outlineLevel="0" collapsed="false">
      <c r="A179" s="58" t="s">
        <v>382</v>
      </c>
      <c r="B179" s="59" t="s">
        <v>383</v>
      </c>
      <c r="C179" s="60" t="s">
        <v>87</v>
      </c>
      <c r="D179" s="61" t="s">
        <v>81</v>
      </c>
      <c r="E179" s="61" t="s">
        <v>82</v>
      </c>
      <c r="F179" s="60"/>
    </row>
    <row r="180" customFormat="false" ht="12.75" hidden="false" customHeight="false" outlineLevel="0" collapsed="false">
      <c r="A180" s="58" t="s">
        <v>384</v>
      </c>
      <c r="B180" s="59" t="s">
        <v>385</v>
      </c>
      <c r="C180" s="60" t="s">
        <v>87</v>
      </c>
      <c r="D180" s="61" t="s">
        <v>369</v>
      </c>
      <c r="E180" s="61" t="s">
        <v>82</v>
      </c>
      <c r="F180" s="60"/>
    </row>
    <row r="181" customFormat="false" ht="12.75" hidden="false" customHeight="false" outlineLevel="0" collapsed="false">
      <c r="A181" s="58"/>
      <c r="B181" s="59"/>
      <c r="C181" s="60"/>
      <c r="D181" s="61"/>
      <c r="E181" s="61"/>
      <c r="F181" s="60"/>
    </row>
    <row r="182" customFormat="false" ht="12.75" hidden="false" customHeight="false" outlineLevel="0" collapsed="false">
      <c r="A182" s="58" t="s">
        <v>386</v>
      </c>
      <c r="B182" s="59" t="s">
        <v>387</v>
      </c>
      <c r="C182" s="60" t="s">
        <v>87</v>
      </c>
      <c r="D182" s="61" t="s">
        <v>81</v>
      </c>
      <c r="E182" s="61" t="s">
        <v>82</v>
      </c>
      <c r="F182" s="60"/>
    </row>
    <row r="183" customFormat="false" ht="12.75" hidden="false" customHeight="false" outlineLevel="0" collapsed="false">
      <c r="A183" s="58" t="s">
        <v>388</v>
      </c>
      <c r="B183" s="59" t="s">
        <v>389</v>
      </c>
      <c r="C183" s="60" t="s">
        <v>87</v>
      </c>
      <c r="D183" s="61" t="s">
        <v>369</v>
      </c>
      <c r="E183" s="61" t="s">
        <v>82</v>
      </c>
      <c r="F183" s="60"/>
    </row>
    <row r="184" customFormat="false" ht="12.75" hidden="false" customHeight="false" outlineLevel="0" collapsed="false">
      <c r="A184" s="58" t="s">
        <v>390</v>
      </c>
      <c r="B184" s="59" t="s">
        <v>391</v>
      </c>
      <c r="C184" s="60" t="s">
        <v>87</v>
      </c>
      <c r="D184" s="61" t="s">
        <v>81</v>
      </c>
      <c r="E184" s="61" t="s">
        <v>82</v>
      </c>
      <c r="F184" s="60"/>
    </row>
    <row r="185" customFormat="false" ht="12.75" hidden="false" customHeight="false" outlineLevel="0" collapsed="false">
      <c r="A185" s="58" t="s">
        <v>392</v>
      </c>
      <c r="B185" s="59" t="s">
        <v>393</v>
      </c>
      <c r="C185" s="60" t="s">
        <v>87</v>
      </c>
      <c r="D185" s="61" t="s">
        <v>369</v>
      </c>
      <c r="E185" s="61" t="s">
        <v>82</v>
      </c>
      <c r="F185" s="60"/>
    </row>
    <row r="186" customFormat="false" ht="12.75" hidden="false" customHeight="false" outlineLevel="0" collapsed="false">
      <c r="A186" s="58"/>
      <c r="B186" s="59"/>
      <c r="C186" s="60"/>
      <c r="D186" s="61"/>
      <c r="E186" s="61"/>
      <c r="F186" s="60"/>
    </row>
    <row r="187" customFormat="false" ht="12.75" hidden="false" customHeight="false" outlineLevel="0" collapsed="false">
      <c r="A187" s="58" t="s">
        <v>394</v>
      </c>
      <c r="B187" s="59" t="s">
        <v>395</v>
      </c>
      <c r="C187" s="60" t="s">
        <v>87</v>
      </c>
      <c r="D187" s="61" t="s">
        <v>81</v>
      </c>
      <c r="E187" s="61" t="s">
        <v>82</v>
      </c>
      <c r="F187" s="60"/>
    </row>
    <row r="188" customFormat="false" ht="12.75" hidden="false" customHeight="false" outlineLevel="0" collapsed="false">
      <c r="A188" s="58" t="s">
        <v>396</v>
      </c>
      <c r="B188" s="59" t="s">
        <v>397</v>
      </c>
      <c r="C188" s="60" t="s">
        <v>87</v>
      </c>
      <c r="D188" s="61" t="s">
        <v>369</v>
      </c>
      <c r="E188" s="61" t="s">
        <v>82</v>
      </c>
      <c r="F188" s="60"/>
    </row>
    <row r="189" customFormat="false" ht="12.75" hidden="false" customHeight="false" outlineLevel="0" collapsed="false">
      <c r="A189" s="58" t="s">
        <v>398</v>
      </c>
      <c r="B189" s="59" t="s">
        <v>399</v>
      </c>
      <c r="C189" s="60" t="s">
        <v>87</v>
      </c>
      <c r="D189" s="61" t="s">
        <v>81</v>
      </c>
      <c r="E189" s="61" t="s">
        <v>82</v>
      </c>
      <c r="F189" s="60"/>
    </row>
    <row r="190" customFormat="false" ht="12.75" hidden="false" customHeight="false" outlineLevel="0" collapsed="false">
      <c r="A190" s="58" t="s">
        <v>400</v>
      </c>
      <c r="B190" s="59" t="s">
        <v>401</v>
      </c>
      <c r="C190" s="60" t="s">
        <v>87</v>
      </c>
      <c r="D190" s="61" t="s">
        <v>369</v>
      </c>
      <c r="E190" s="61" t="s">
        <v>82</v>
      </c>
      <c r="F190" s="60"/>
    </row>
    <row r="191" customFormat="false" ht="12.75" hidden="false" customHeight="false" outlineLevel="0" collapsed="false">
      <c r="A191" s="58"/>
      <c r="B191" s="59"/>
      <c r="C191" s="60"/>
      <c r="D191" s="61"/>
      <c r="E191" s="61"/>
      <c r="F191" s="60"/>
    </row>
    <row r="192" customFormat="false" ht="12.75" hidden="false" customHeight="false" outlineLevel="0" collapsed="false">
      <c r="A192" s="58" t="s">
        <v>402</v>
      </c>
      <c r="B192" s="59" t="s">
        <v>403</v>
      </c>
      <c r="C192" s="60" t="s">
        <v>87</v>
      </c>
      <c r="D192" s="61" t="s">
        <v>81</v>
      </c>
      <c r="E192" s="61" t="s">
        <v>82</v>
      </c>
      <c r="F192" s="60"/>
    </row>
    <row r="193" customFormat="false" ht="12.75" hidden="false" customHeight="false" outlineLevel="0" collapsed="false">
      <c r="A193" s="58" t="s">
        <v>404</v>
      </c>
      <c r="B193" s="59" t="s">
        <v>405</v>
      </c>
      <c r="C193" s="60" t="s">
        <v>87</v>
      </c>
      <c r="D193" s="61" t="s">
        <v>369</v>
      </c>
      <c r="E193" s="61" t="s">
        <v>82</v>
      </c>
      <c r="F193" s="60"/>
    </row>
    <row r="194" customFormat="false" ht="12.75" hidden="false" customHeight="false" outlineLevel="0" collapsed="false">
      <c r="A194" s="58" t="s">
        <v>406</v>
      </c>
      <c r="B194" s="59" t="s">
        <v>407</v>
      </c>
      <c r="C194" s="60" t="s">
        <v>87</v>
      </c>
      <c r="D194" s="61" t="s">
        <v>81</v>
      </c>
      <c r="E194" s="61" t="s">
        <v>82</v>
      </c>
      <c r="F194" s="60"/>
    </row>
    <row r="195" customFormat="false" ht="12.75" hidden="false" customHeight="false" outlineLevel="0" collapsed="false">
      <c r="A195" s="58" t="s">
        <v>408</v>
      </c>
      <c r="B195" s="59" t="s">
        <v>409</v>
      </c>
      <c r="C195" s="60" t="s">
        <v>87</v>
      </c>
      <c r="D195" s="61" t="s">
        <v>369</v>
      </c>
      <c r="E195" s="61" t="s">
        <v>82</v>
      </c>
      <c r="F195" s="60"/>
    </row>
    <row r="196" customFormat="false" ht="12.75" hidden="false" customHeight="false" outlineLevel="0" collapsed="false">
      <c r="A196" s="58"/>
      <c r="B196" s="59"/>
      <c r="C196" s="60"/>
      <c r="D196" s="61"/>
      <c r="E196" s="61"/>
      <c r="F196" s="60"/>
    </row>
    <row r="197" customFormat="false" ht="12.75" hidden="false" customHeight="false" outlineLevel="0" collapsed="false">
      <c r="A197" s="58" t="s">
        <v>410</v>
      </c>
      <c r="B197" s="59" t="s">
        <v>411</v>
      </c>
      <c r="C197" s="60" t="s">
        <v>87</v>
      </c>
      <c r="D197" s="61" t="s">
        <v>81</v>
      </c>
      <c r="E197" s="61" t="s">
        <v>82</v>
      </c>
      <c r="F197" s="60"/>
    </row>
    <row r="198" customFormat="false" ht="12.75" hidden="false" customHeight="false" outlineLevel="0" collapsed="false">
      <c r="A198" s="58" t="s">
        <v>412</v>
      </c>
      <c r="B198" s="59" t="s">
        <v>413</v>
      </c>
      <c r="C198" s="60" t="s">
        <v>87</v>
      </c>
      <c r="D198" s="61" t="s">
        <v>369</v>
      </c>
      <c r="E198" s="61" t="s">
        <v>82</v>
      </c>
      <c r="F198" s="60"/>
    </row>
    <row r="199" customFormat="false" ht="12.75" hidden="false" customHeight="false" outlineLevel="0" collapsed="false">
      <c r="A199" s="58" t="s">
        <v>414</v>
      </c>
      <c r="B199" s="59" t="s">
        <v>415</v>
      </c>
      <c r="C199" s="60" t="s">
        <v>87</v>
      </c>
      <c r="D199" s="61" t="s">
        <v>81</v>
      </c>
      <c r="E199" s="61" t="s">
        <v>82</v>
      </c>
      <c r="F199" s="60"/>
    </row>
    <row r="200" customFormat="false" ht="12.75" hidden="false" customHeight="false" outlineLevel="0" collapsed="false">
      <c r="A200" s="58" t="s">
        <v>416</v>
      </c>
      <c r="B200" s="59" t="s">
        <v>417</v>
      </c>
      <c r="C200" s="60" t="s">
        <v>87</v>
      </c>
      <c r="D200" s="61" t="s">
        <v>369</v>
      </c>
      <c r="E200" s="61" t="s">
        <v>82</v>
      </c>
      <c r="F200" s="60"/>
    </row>
    <row r="201" customFormat="false" ht="12.75" hidden="false" customHeight="false" outlineLevel="0" collapsed="false">
      <c r="A201" s="58"/>
      <c r="B201" s="59"/>
      <c r="C201" s="60"/>
      <c r="D201" s="61"/>
      <c r="E201" s="61"/>
      <c r="F201" s="60"/>
    </row>
    <row r="202" customFormat="false" ht="12.75" hidden="false" customHeight="false" outlineLevel="0" collapsed="false">
      <c r="A202" s="58" t="s">
        <v>418</v>
      </c>
      <c r="B202" s="59" t="s">
        <v>419</v>
      </c>
      <c r="C202" s="60" t="s">
        <v>106</v>
      </c>
      <c r="D202" s="61" t="s">
        <v>420</v>
      </c>
      <c r="E202" s="61" t="s">
        <v>82</v>
      </c>
      <c r="F202" s="60" t="s">
        <v>421</v>
      </c>
    </row>
    <row r="203" customFormat="false" ht="12.75" hidden="false" customHeight="false" outlineLevel="0" collapsed="false">
      <c r="A203" s="58" t="s">
        <v>422</v>
      </c>
      <c r="B203" s="59" t="s">
        <v>423</v>
      </c>
      <c r="C203" s="60" t="s">
        <v>106</v>
      </c>
      <c r="D203" s="61" t="s">
        <v>420</v>
      </c>
      <c r="E203" s="61" t="s">
        <v>82</v>
      </c>
      <c r="F203" s="60" t="s">
        <v>424</v>
      </c>
    </row>
    <row r="204" customFormat="false" ht="12.75" hidden="false" customHeight="false" outlineLevel="0" collapsed="false">
      <c r="A204" s="58"/>
      <c r="B204" s="59"/>
      <c r="C204" s="60"/>
      <c r="D204" s="61"/>
      <c r="E204" s="61"/>
      <c r="F204" s="60"/>
    </row>
    <row r="205" customFormat="false" ht="12.75" hidden="false" customHeight="false" outlineLevel="0" collapsed="false">
      <c r="A205" s="58" t="s">
        <v>425</v>
      </c>
      <c r="B205" s="59" t="s">
        <v>426</v>
      </c>
      <c r="C205" s="60" t="s">
        <v>87</v>
      </c>
      <c r="D205" s="61" t="s">
        <v>220</v>
      </c>
      <c r="E205" s="61" t="s">
        <v>82</v>
      </c>
      <c r="F205" s="60"/>
    </row>
    <row r="206" customFormat="false" ht="12.75" hidden="false" customHeight="false" outlineLevel="0" collapsed="false">
      <c r="A206" s="58" t="s">
        <v>427</v>
      </c>
      <c r="B206" s="59" t="s">
        <v>428</v>
      </c>
      <c r="C206" s="60" t="s">
        <v>429</v>
      </c>
      <c r="D206" s="61" t="s">
        <v>224</v>
      </c>
      <c r="E206" s="61" t="s">
        <v>82</v>
      </c>
      <c r="F206" s="60"/>
    </row>
    <row r="207" customFormat="false" ht="12.75" hidden="false" customHeight="false" outlineLevel="0" collapsed="false">
      <c r="A207" s="58"/>
      <c r="B207" s="59"/>
      <c r="C207" s="60"/>
      <c r="D207" s="61"/>
      <c r="E207" s="61"/>
      <c r="F207" s="60"/>
    </row>
    <row r="208" customFormat="false" ht="12.75" hidden="false" customHeight="false" outlineLevel="0" collapsed="false">
      <c r="A208" s="58" t="s">
        <v>430</v>
      </c>
      <c r="B208" s="59" t="s">
        <v>431</v>
      </c>
      <c r="C208" s="60" t="s">
        <v>87</v>
      </c>
      <c r="D208" s="61" t="s">
        <v>220</v>
      </c>
      <c r="E208" s="61" t="s">
        <v>82</v>
      </c>
      <c r="F208" s="60"/>
    </row>
    <row r="209" customFormat="false" ht="12.75" hidden="false" customHeight="false" outlineLevel="0" collapsed="false">
      <c r="A209" s="58" t="s">
        <v>432</v>
      </c>
      <c r="B209" s="59" t="s">
        <v>433</v>
      </c>
      <c r="C209" s="60" t="s">
        <v>434</v>
      </c>
      <c r="D209" s="61" t="s">
        <v>224</v>
      </c>
      <c r="E209" s="61" t="s">
        <v>82</v>
      </c>
      <c r="F209" s="60"/>
    </row>
    <row r="210" customFormat="false" ht="12.75" hidden="false" customHeight="false" outlineLevel="0" collapsed="false">
      <c r="A210" s="58"/>
      <c r="B210" s="59"/>
      <c r="C210" s="60"/>
      <c r="D210" s="61"/>
      <c r="E210" s="61"/>
      <c r="F210" s="60"/>
    </row>
    <row r="211" customFormat="false" ht="12.75" hidden="false" customHeight="false" outlineLevel="0" collapsed="false">
      <c r="A211" s="58" t="s">
        <v>435</v>
      </c>
      <c r="B211" s="59" t="s">
        <v>436</v>
      </c>
      <c r="C211" s="60" t="s">
        <v>106</v>
      </c>
      <c r="D211" s="61" t="s">
        <v>216</v>
      </c>
      <c r="E211" s="61" t="s">
        <v>82</v>
      </c>
      <c r="F211" s="60" t="s">
        <v>437</v>
      </c>
    </row>
    <row r="212" customFormat="false" ht="12.75" hidden="false" customHeight="false" outlineLevel="0" collapsed="false">
      <c r="A212" s="58" t="s">
        <v>438</v>
      </c>
      <c r="B212" s="59" t="s">
        <v>439</v>
      </c>
      <c r="C212" s="60" t="s">
        <v>106</v>
      </c>
      <c r="D212" s="61" t="s">
        <v>216</v>
      </c>
      <c r="E212" s="61" t="s">
        <v>82</v>
      </c>
      <c r="F212" s="60" t="s">
        <v>440</v>
      </c>
    </row>
    <row r="213" customFormat="false" ht="12.75" hidden="false" customHeight="false" outlineLevel="0" collapsed="false">
      <c r="A213" s="58"/>
      <c r="B213" s="59"/>
      <c r="C213" s="60"/>
      <c r="D213" s="61"/>
      <c r="E213" s="61"/>
      <c r="F213" s="60"/>
    </row>
    <row r="214" customFormat="false" ht="12.75" hidden="false" customHeight="false" outlineLevel="0" collapsed="false">
      <c r="A214" s="58" t="s">
        <v>441</v>
      </c>
      <c r="B214" s="59" t="s">
        <v>442</v>
      </c>
      <c r="C214" s="60" t="s">
        <v>443</v>
      </c>
      <c r="D214" s="61" t="s">
        <v>224</v>
      </c>
      <c r="E214" s="61" t="s">
        <v>82</v>
      </c>
      <c r="F214" s="60"/>
    </row>
    <row r="215" customFormat="false" ht="12.75" hidden="false" customHeight="false" outlineLevel="0" collapsed="false">
      <c r="A215" s="58" t="s">
        <v>444</v>
      </c>
      <c r="B215" s="59" t="s">
        <v>445</v>
      </c>
      <c r="C215" s="60" t="s">
        <v>87</v>
      </c>
      <c r="D215" s="61" t="s">
        <v>220</v>
      </c>
      <c r="E215" s="61" t="s">
        <v>82</v>
      </c>
      <c r="F215" s="60"/>
    </row>
    <row r="216" customFormat="false" ht="12.75" hidden="false" customHeight="false" outlineLevel="0" collapsed="false">
      <c r="A216" s="58"/>
      <c r="B216" s="59"/>
      <c r="C216" s="60"/>
      <c r="D216" s="61"/>
      <c r="E216" s="61"/>
      <c r="F216" s="60"/>
    </row>
    <row r="217" customFormat="false" ht="12.75" hidden="false" customHeight="false" outlineLevel="0" collapsed="false">
      <c r="A217" s="58" t="s">
        <v>446</v>
      </c>
      <c r="B217" s="59" t="s">
        <v>447</v>
      </c>
      <c r="C217" s="60" t="s">
        <v>448</v>
      </c>
      <c r="D217" s="61" t="s">
        <v>224</v>
      </c>
      <c r="E217" s="61" t="s">
        <v>82</v>
      </c>
      <c r="F217" s="60"/>
    </row>
    <row r="218" customFormat="false" ht="12.75" hidden="false" customHeight="false" outlineLevel="0" collapsed="false">
      <c r="A218" s="58" t="s">
        <v>449</v>
      </c>
      <c r="B218" s="59" t="s">
        <v>450</v>
      </c>
      <c r="C218" s="60" t="s">
        <v>87</v>
      </c>
      <c r="D218" s="61" t="s">
        <v>220</v>
      </c>
      <c r="E218" s="61" t="s">
        <v>82</v>
      </c>
      <c r="F218" s="60"/>
    </row>
    <row r="219" customFormat="false" ht="12.75" hidden="false" customHeight="false" outlineLevel="0" collapsed="false">
      <c r="A219" s="58"/>
      <c r="B219" s="59"/>
      <c r="C219" s="60"/>
      <c r="D219" s="61"/>
      <c r="E219" s="61"/>
      <c r="F219" s="60"/>
    </row>
    <row r="220" customFormat="false" ht="12.75" hidden="false" customHeight="false" outlineLevel="0" collapsed="false">
      <c r="A220" s="58" t="s">
        <v>451</v>
      </c>
      <c r="B220" s="59" t="s">
        <v>452</v>
      </c>
      <c r="C220" s="60" t="s">
        <v>87</v>
      </c>
      <c r="D220" s="61" t="s">
        <v>81</v>
      </c>
      <c r="E220" s="61" t="s">
        <v>82</v>
      </c>
      <c r="F220" s="60"/>
    </row>
    <row r="221" customFormat="false" ht="12.75" hidden="false" customHeight="false" outlineLevel="0" collapsed="false">
      <c r="A221" s="58" t="s">
        <v>453</v>
      </c>
      <c r="B221" s="59" t="s">
        <v>454</v>
      </c>
      <c r="C221" s="60" t="s">
        <v>87</v>
      </c>
      <c r="D221" s="61" t="s">
        <v>369</v>
      </c>
      <c r="E221" s="61" t="s">
        <v>82</v>
      </c>
      <c r="F221" s="60"/>
    </row>
    <row r="222" s="52" customFormat="true" ht="13.15" hidden="false" customHeight="false" outlineLevel="0" collapsed="false">
      <c r="A222" s="58" t="s">
        <v>455</v>
      </c>
      <c r="B222" s="59" t="s">
        <v>456</v>
      </c>
      <c r="C222" s="60" t="s">
        <v>87</v>
      </c>
      <c r="D222" s="61" t="s">
        <v>81</v>
      </c>
      <c r="E222" s="61" t="s">
        <v>82</v>
      </c>
      <c r="F222" s="60"/>
      <c r="G222" s="51"/>
    </row>
    <row r="223" customFormat="false" ht="12.75" hidden="false" customHeight="false" outlineLevel="0" collapsed="false">
      <c r="A223" s="58" t="s">
        <v>457</v>
      </c>
      <c r="B223" s="59" t="s">
        <v>458</v>
      </c>
      <c r="C223" s="60" t="s">
        <v>87</v>
      </c>
      <c r="D223" s="61" t="s">
        <v>369</v>
      </c>
      <c r="E223" s="61" t="s">
        <v>82</v>
      </c>
      <c r="F223" s="60"/>
    </row>
    <row r="224" customFormat="false" ht="12.75" hidden="false" customHeight="false" outlineLevel="0" collapsed="false">
      <c r="A224" s="58"/>
      <c r="B224" s="59"/>
      <c r="C224" s="60"/>
      <c r="D224" s="61"/>
      <c r="E224" s="61"/>
      <c r="F224" s="60"/>
    </row>
    <row r="225" s="63" customFormat="true" ht="12.75" hidden="false" customHeight="false" outlineLevel="0" collapsed="false">
      <c r="A225" s="58" t="s">
        <v>459</v>
      </c>
      <c r="B225" s="59" t="s">
        <v>460</v>
      </c>
      <c r="C225" s="60" t="s">
        <v>87</v>
      </c>
      <c r="D225" s="61" t="s">
        <v>81</v>
      </c>
      <c r="E225" s="61" t="s">
        <v>88</v>
      </c>
      <c r="F225" s="60"/>
      <c r="G225" s="62"/>
    </row>
    <row r="226" s="63" customFormat="true" ht="12.75" hidden="false" customHeight="false" outlineLevel="0" collapsed="false">
      <c r="A226" s="58" t="s">
        <v>461</v>
      </c>
      <c r="B226" s="59" t="str">
        <f aca="false">'HBAI Main &amp; Backseries Datasets'!C147</f>
        <v>Harmonised Ethnic group of household</v>
      </c>
      <c r="C226" s="60" t="s">
        <v>80</v>
      </c>
      <c r="D226" s="61" t="s">
        <v>81</v>
      </c>
      <c r="E226" s="61" t="s">
        <v>88</v>
      </c>
      <c r="F226" s="60"/>
      <c r="G226" s="62"/>
    </row>
    <row r="227" customFormat="false" ht="12.75" hidden="false" customHeight="false" outlineLevel="0" collapsed="false">
      <c r="A227" s="58"/>
      <c r="B227" s="59"/>
      <c r="C227" s="60"/>
      <c r="D227" s="61"/>
      <c r="E227" s="61"/>
      <c r="F227" s="60"/>
    </row>
    <row r="228" customFormat="false" ht="12.75" hidden="false" customHeight="false" outlineLevel="0" collapsed="false">
      <c r="A228" s="58" t="s">
        <v>462</v>
      </c>
      <c r="B228" s="59" t="s">
        <v>463</v>
      </c>
      <c r="C228" s="60" t="s">
        <v>106</v>
      </c>
      <c r="D228" s="61" t="s">
        <v>81</v>
      </c>
      <c r="E228" s="61" t="s">
        <v>88</v>
      </c>
      <c r="F228" s="60" t="s">
        <v>464</v>
      </c>
    </row>
    <row r="229" customFormat="false" ht="12.75" hidden="false" customHeight="false" outlineLevel="0" collapsed="false">
      <c r="A229" s="58"/>
      <c r="B229" s="59"/>
      <c r="C229" s="60"/>
      <c r="D229" s="61"/>
      <c r="E229" s="61"/>
      <c r="F229" s="60"/>
    </row>
    <row r="230" customFormat="false" ht="12.75" hidden="false" customHeight="false" outlineLevel="0" collapsed="false">
      <c r="A230" s="58" t="s">
        <v>465</v>
      </c>
      <c r="B230" s="59" t="s">
        <v>466</v>
      </c>
      <c r="C230" s="60" t="s">
        <v>87</v>
      </c>
      <c r="D230" s="61" t="s">
        <v>467</v>
      </c>
      <c r="E230" s="61" t="s">
        <v>82</v>
      </c>
      <c r="F230" s="60"/>
    </row>
    <row r="231" customFormat="false" ht="12.75" hidden="false" customHeight="false" outlineLevel="0" collapsed="false">
      <c r="A231" s="58" t="s">
        <v>468</v>
      </c>
      <c r="B231" s="59" t="s">
        <v>469</v>
      </c>
      <c r="C231" s="60" t="s">
        <v>87</v>
      </c>
      <c r="D231" s="61" t="s">
        <v>467</v>
      </c>
      <c r="E231" s="61" t="s">
        <v>82</v>
      </c>
      <c r="F231" s="60"/>
    </row>
    <row r="232" customFormat="false" ht="12.75" hidden="false" customHeight="false" outlineLevel="0" collapsed="false">
      <c r="A232" s="58"/>
      <c r="B232" s="59"/>
      <c r="C232" s="60"/>
      <c r="D232" s="61"/>
      <c r="E232" s="61"/>
      <c r="F232" s="60"/>
    </row>
    <row r="233" customFormat="false" ht="12.75" hidden="false" customHeight="false" outlineLevel="0" collapsed="false">
      <c r="A233" s="58" t="s">
        <v>470</v>
      </c>
      <c r="B233" s="59" t="s">
        <v>471</v>
      </c>
      <c r="C233" s="60" t="s">
        <v>106</v>
      </c>
      <c r="D233" s="61" t="s">
        <v>472</v>
      </c>
      <c r="E233" s="61" t="s">
        <v>88</v>
      </c>
      <c r="F233" s="60" t="s">
        <v>464</v>
      </c>
    </row>
    <row r="234" customFormat="false" ht="12.75" hidden="false" customHeight="false" outlineLevel="0" collapsed="false">
      <c r="A234" s="58"/>
      <c r="B234" s="59"/>
      <c r="C234" s="60"/>
      <c r="D234" s="61"/>
      <c r="E234" s="61"/>
      <c r="F234" s="60"/>
    </row>
    <row r="235" customFormat="false" ht="12.75" hidden="false" customHeight="false" outlineLevel="0" collapsed="false">
      <c r="A235" s="58" t="s">
        <v>473</v>
      </c>
      <c r="B235" s="59" t="s">
        <v>474</v>
      </c>
      <c r="C235" s="60" t="s">
        <v>87</v>
      </c>
      <c r="D235" s="61" t="s">
        <v>475</v>
      </c>
      <c r="E235" s="61" t="s">
        <v>82</v>
      </c>
      <c r="F235" s="60"/>
    </row>
    <row r="236" customFormat="false" ht="12.75" hidden="false" customHeight="false" outlineLevel="0" collapsed="false">
      <c r="A236" s="58"/>
      <c r="B236" s="59"/>
      <c r="C236" s="60"/>
      <c r="D236" s="61"/>
      <c r="E236" s="61"/>
      <c r="F236" s="60"/>
    </row>
    <row r="237" customFormat="false" ht="12.75" hidden="false" customHeight="false" outlineLevel="0" collapsed="false">
      <c r="A237" s="58" t="s">
        <v>476</v>
      </c>
      <c r="B237" s="59" t="s">
        <v>477</v>
      </c>
      <c r="C237" s="60" t="s">
        <v>87</v>
      </c>
      <c r="D237" s="61" t="s">
        <v>478</v>
      </c>
      <c r="E237" s="61" t="s">
        <v>82</v>
      </c>
      <c r="F237" s="60"/>
    </row>
    <row r="238" customFormat="false" ht="12.75" hidden="false" customHeight="false" outlineLevel="0" collapsed="false">
      <c r="A238" s="58"/>
      <c r="B238" s="59"/>
      <c r="C238" s="60"/>
      <c r="D238" s="61"/>
      <c r="E238" s="61"/>
      <c r="F238" s="60"/>
    </row>
    <row r="239" customFormat="false" ht="12.75" hidden="false" customHeight="false" outlineLevel="0" collapsed="false">
      <c r="A239" s="58" t="s">
        <v>479</v>
      </c>
      <c r="B239" s="59" t="s">
        <v>480</v>
      </c>
      <c r="C239" s="60" t="s">
        <v>87</v>
      </c>
      <c r="D239" s="61" t="s">
        <v>478</v>
      </c>
      <c r="E239" s="61" t="s">
        <v>82</v>
      </c>
      <c r="F239" s="60"/>
    </row>
    <row r="240" customFormat="false" ht="12.75" hidden="false" customHeight="false" outlineLevel="0" collapsed="false">
      <c r="A240" s="58"/>
      <c r="B240" s="59"/>
      <c r="C240" s="60"/>
      <c r="D240" s="61"/>
      <c r="E240" s="61"/>
      <c r="F240" s="60"/>
    </row>
    <row r="241" customFormat="false" ht="12.75" hidden="false" customHeight="false" outlineLevel="0" collapsed="false">
      <c r="A241" s="58" t="s">
        <v>481</v>
      </c>
      <c r="B241" s="59" t="s">
        <v>482</v>
      </c>
      <c r="C241" s="60" t="s">
        <v>87</v>
      </c>
      <c r="D241" s="61" t="s">
        <v>483</v>
      </c>
      <c r="E241" s="61" t="s">
        <v>82</v>
      </c>
      <c r="F241" s="60"/>
    </row>
    <row r="242" customFormat="false" ht="12.75" hidden="false" customHeight="false" outlineLevel="0" collapsed="false">
      <c r="A242" s="58"/>
      <c r="B242" s="59"/>
      <c r="C242" s="60"/>
      <c r="D242" s="61"/>
      <c r="E242" s="61"/>
      <c r="F242" s="60"/>
    </row>
    <row r="243" customFormat="false" ht="12.75" hidden="false" customHeight="false" outlineLevel="0" collapsed="false">
      <c r="A243" s="58" t="s">
        <v>484</v>
      </c>
      <c r="B243" s="59" t="s">
        <v>485</v>
      </c>
      <c r="C243" s="60" t="s">
        <v>87</v>
      </c>
      <c r="D243" s="61" t="s">
        <v>231</v>
      </c>
      <c r="E243" s="61" t="s">
        <v>82</v>
      </c>
      <c r="F243" s="60"/>
    </row>
    <row r="244" customFormat="false" ht="12.75" hidden="false" customHeight="false" outlineLevel="0" collapsed="false">
      <c r="A244" s="58"/>
      <c r="B244" s="59"/>
      <c r="C244" s="60"/>
      <c r="D244" s="61"/>
      <c r="E244" s="61"/>
      <c r="F244" s="60"/>
    </row>
    <row r="245" customFormat="false" ht="12.75" hidden="false" customHeight="false" outlineLevel="0" collapsed="false">
      <c r="A245" s="58" t="s">
        <v>486</v>
      </c>
      <c r="B245" s="59" t="s">
        <v>487</v>
      </c>
      <c r="C245" s="60" t="s">
        <v>106</v>
      </c>
      <c r="D245" s="61" t="s">
        <v>488</v>
      </c>
      <c r="E245" s="61" t="s">
        <v>88</v>
      </c>
      <c r="F245" s="60" t="s">
        <v>489</v>
      </c>
    </row>
    <row r="246" customFormat="false" ht="12.75" hidden="false" customHeight="false" outlineLevel="0" collapsed="false">
      <c r="A246" s="58" t="s">
        <v>490</v>
      </c>
      <c r="B246" s="59" t="s">
        <v>491</v>
      </c>
      <c r="C246" s="60" t="s">
        <v>106</v>
      </c>
      <c r="D246" s="61" t="s">
        <v>290</v>
      </c>
      <c r="E246" s="61" t="s">
        <v>88</v>
      </c>
      <c r="F246" s="60" t="s">
        <v>489</v>
      </c>
    </row>
    <row r="247" customFormat="false" ht="12.75" hidden="false" customHeight="false" outlineLevel="0" collapsed="false">
      <c r="A247" s="58"/>
      <c r="B247" s="59"/>
      <c r="C247" s="60"/>
      <c r="D247" s="61"/>
      <c r="E247" s="61"/>
      <c r="F247" s="60"/>
    </row>
    <row r="248" customFormat="false" ht="12.75" hidden="false" customHeight="false" outlineLevel="0" collapsed="false">
      <c r="A248" s="58" t="s">
        <v>492</v>
      </c>
      <c r="B248" s="59" t="s">
        <v>493</v>
      </c>
      <c r="C248" s="60" t="s">
        <v>106</v>
      </c>
      <c r="D248" s="61" t="s">
        <v>290</v>
      </c>
      <c r="E248" s="61" t="s">
        <v>88</v>
      </c>
      <c r="F248" s="60" t="s">
        <v>494</v>
      </c>
    </row>
    <row r="249" customFormat="false" ht="12.75" hidden="false" customHeight="false" outlineLevel="0" collapsed="false">
      <c r="A249" s="58"/>
      <c r="B249" s="59"/>
      <c r="C249" s="60"/>
      <c r="D249" s="61"/>
      <c r="E249" s="61"/>
      <c r="F249" s="60"/>
    </row>
    <row r="250" customFormat="false" ht="12.75" hidden="false" customHeight="false" outlineLevel="0" collapsed="false">
      <c r="A250" s="58" t="s">
        <v>495</v>
      </c>
      <c r="B250" s="59" t="s">
        <v>496</v>
      </c>
      <c r="C250" s="60" t="s">
        <v>80</v>
      </c>
      <c r="D250" s="61" t="s">
        <v>81</v>
      </c>
      <c r="E250" s="61" t="s">
        <v>88</v>
      </c>
      <c r="F250" s="60"/>
    </row>
    <row r="251" customFormat="false" ht="12.75" hidden="false" customHeight="false" outlineLevel="0" collapsed="false">
      <c r="A251" s="58" t="s">
        <v>497</v>
      </c>
      <c r="B251" s="59" t="s">
        <v>498</v>
      </c>
      <c r="C251" s="60" t="s">
        <v>80</v>
      </c>
      <c r="D251" s="61" t="s">
        <v>81</v>
      </c>
      <c r="E251" s="61" t="s">
        <v>88</v>
      </c>
      <c r="F251" s="60"/>
    </row>
    <row r="252" customFormat="false" ht="12.75" hidden="false" customHeight="false" outlineLevel="0" collapsed="false">
      <c r="A252" s="58" t="s">
        <v>499</v>
      </c>
      <c r="B252" s="59" t="s">
        <v>500</v>
      </c>
      <c r="C252" s="60" t="s">
        <v>80</v>
      </c>
      <c r="D252" s="61" t="s">
        <v>81</v>
      </c>
      <c r="E252" s="61" t="s">
        <v>88</v>
      </c>
      <c r="F252" s="60"/>
    </row>
    <row r="253" customFormat="false" ht="12.75" hidden="false" customHeight="false" outlineLevel="0" collapsed="false">
      <c r="A253" s="58" t="s">
        <v>501</v>
      </c>
      <c r="B253" s="59" t="s">
        <v>502</v>
      </c>
      <c r="C253" s="60" t="s">
        <v>80</v>
      </c>
      <c r="D253" s="61" t="s">
        <v>81</v>
      </c>
      <c r="E253" s="61" t="s">
        <v>88</v>
      </c>
      <c r="F253" s="60"/>
    </row>
    <row r="254" customFormat="false" ht="12.75" hidden="false" customHeight="false" outlineLevel="0" collapsed="false">
      <c r="A254" s="58" t="s">
        <v>503</v>
      </c>
      <c r="B254" s="59" t="s">
        <v>504</v>
      </c>
      <c r="C254" s="60" t="s">
        <v>80</v>
      </c>
      <c r="D254" s="61" t="s">
        <v>81</v>
      </c>
      <c r="E254" s="61" t="s">
        <v>88</v>
      </c>
      <c r="F254" s="60"/>
    </row>
    <row r="255" s="44" customFormat="true" ht="12.75" hidden="false" customHeight="false" outlineLevel="0" collapsed="false">
      <c r="A255" s="58" t="s">
        <v>505</v>
      </c>
      <c r="B255" s="59" t="s">
        <v>506</v>
      </c>
      <c r="C255" s="60" t="s">
        <v>80</v>
      </c>
      <c r="D255" s="61" t="s">
        <v>81</v>
      </c>
      <c r="E255" s="61" t="s">
        <v>88</v>
      </c>
      <c r="F255" s="60"/>
    </row>
    <row r="256" customFormat="false" ht="12.75" hidden="false" customHeight="false" outlineLevel="0" collapsed="false">
      <c r="A256" s="58" t="s">
        <v>507</v>
      </c>
      <c r="B256" s="59" t="s">
        <v>508</v>
      </c>
      <c r="C256" s="60" t="s">
        <v>80</v>
      </c>
      <c r="D256" s="61" t="s">
        <v>81</v>
      </c>
      <c r="E256" s="61" t="s">
        <v>88</v>
      </c>
      <c r="F256" s="60"/>
    </row>
    <row r="257" customFormat="false" ht="12.75" hidden="false" customHeight="false" outlineLevel="0" collapsed="false">
      <c r="A257" s="58" t="s">
        <v>509</v>
      </c>
      <c r="B257" s="59" t="s">
        <v>510</v>
      </c>
      <c r="C257" s="60" t="s">
        <v>87</v>
      </c>
      <c r="D257" s="61" t="s">
        <v>81</v>
      </c>
      <c r="E257" s="61" t="s">
        <v>88</v>
      </c>
      <c r="F257" s="60"/>
    </row>
    <row r="258" customFormat="false" ht="12.75" hidden="false" customHeight="false" outlineLevel="0" collapsed="false">
      <c r="A258" s="58" t="s">
        <v>511</v>
      </c>
      <c r="B258" s="59" t="s">
        <v>512</v>
      </c>
      <c r="C258" s="60" t="s">
        <v>87</v>
      </c>
      <c r="D258" s="61" t="s">
        <v>81</v>
      </c>
      <c r="E258" s="61" t="s">
        <v>88</v>
      </c>
      <c r="F258" s="60"/>
    </row>
    <row r="259" customFormat="false" ht="12.75" hidden="false" customHeight="false" outlineLevel="0" collapsed="false">
      <c r="A259" s="58" t="s">
        <v>513</v>
      </c>
      <c r="B259" s="59" t="s">
        <v>514</v>
      </c>
      <c r="C259" s="60" t="s">
        <v>87</v>
      </c>
      <c r="D259" s="61" t="s">
        <v>81</v>
      </c>
      <c r="E259" s="61" t="s">
        <v>88</v>
      </c>
      <c r="F259" s="60"/>
    </row>
    <row r="260" customFormat="false" ht="12.75" hidden="false" customHeight="false" outlineLevel="0" collapsed="false">
      <c r="A260" s="58" t="s">
        <v>515</v>
      </c>
      <c r="B260" s="59" t="s">
        <v>516</v>
      </c>
      <c r="C260" s="60" t="s">
        <v>87</v>
      </c>
      <c r="D260" s="61" t="s">
        <v>81</v>
      </c>
      <c r="E260" s="61" t="s">
        <v>88</v>
      </c>
      <c r="F260" s="60"/>
    </row>
    <row r="261" customFormat="false" ht="12.75" hidden="false" customHeight="false" outlineLevel="0" collapsed="false">
      <c r="A261" s="58" t="s">
        <v>517</v>
      </c>
      <c r="B261" s="59" t="s">
        <v>518</v>
      </c>
      <c r="C261" s="60" t="s">
        <v>87</v>
      </c>
      <c r="D261" s="61" t="s">
        <v>81</v>
      </c>
      <c r="E261" s="61" t="s">
        <v>88</v>
      </c>
      <c r="F261" s="60"/>
    </row>
    <row r="262" customFormat="false" ht="12.75" hidden="false" customHeight="false" outlineLevel="0" collapsed="false">
      <c r="A262" s="58" t="s">
        <v>519</v>
      </c>
      <c r="B262" s="59" t="s">
        <v>520</v>
      </c>
      <c r="C262" s="60" t="s">
        <v>87</v>
      </c>
      <c r="D262" s="61" t="s">
        <v>81</v>
      </c>
      <c r="E262" s="61" t="s">
        <v>88</v>
      </c>
      <c r="F262" s="60"/>
    </row>
    <row r="263" customFormat="false" ht="12.75" hidden="false" customHeight="false" outlineLevel="0" collapsed="false">
      <c r="A263" s="58" t="s">
        <v>521</v>
      </c>
      <c r="B263" s="59" t="s">
        <v>522</v>
      </c>
      <c r="C263" s="60" t="s">
        <v>87</v>
      </c>
      <c r="D263" s="61" t="s">
        <v>81</v>
      </c>
      <c r="E263" s="61" t="s">
        <v>88</v>
      </c>
      <c r="F263" s="60"/>
    </row>
    <row r="264" customFormat="false" ht="12.75" hidden="false" customHeight="false" outlineLevel="0" collapsed="false">
      <c r="A264" s="58"/>
      <c r="B264" s="59"/>
      <c r="C264" s="60"/>
      <c r="D264" s="61"/>
      <c r="E264" s="61"/>
      <c r="F264" s="60"/>
    </row>
    <row r="265" customFormat="false" ht="12.75" hidden="false" customHeight="false" outlineLevel="0" collapsed="false">
      <c r="A265" s="58" t="s">
        <v>523</v>
      </c>
      <c r="B265" s="59" t="s">
        <v>524</v>
      </c>
      <c r="C265" s="60" t="s">
        <v>87</v>
      </c>
      <c r="D265" s="61" t="s">
        <v>81</v>
      </c>
      <c r="E265" s="61" t="s">
        <v>88</v>
      </c>
      <c r="F265" s="60"/>
    </row>
    <row r="266" customFormat="false" ht="12.75" hidden="false" customHeight="false" outlineLevel="0" collapsed="false">
      <c r="A266" s="58"/>
      <c r="B266" s="59"/>
      <c r="C266" s="60"/>
      <c r="D266" s="61"/>
      <c r="E266" s="61"/>
      <c r="F266" s="60"/>
    </row>
    <row r="267" customFormat="false" ht="12.75" hidden="false" customHeight="false" outlineLevel="0" collapsed="false">
      <c r="A267" s="58" t="s">
        <v>525</v>
      </c>
      <c r="B267" s="59" t="s">
        <v>526</v>
      </c>
      <c r="C267" s="60" t="s">
        <v>80</v>
      </c>
      <c r="D267" s="61" t="s">
        <v>81</v>
      </c>
      <c r="E267" s="61" t="s">
        <v>88</v>
      </c>
      <c r="F267" s="60"/>
    </row>
    <row r="268" customFormat="false" ht="12.75" hidden="false" customHeight="false" outlineLevel="0" collapsed="false">
      <c r="A268" s="58" t="s">
        <v>527</v>
      </c>
      <c r="B268" s="59" t="s">
        <v>528</v>
      </c>
      <c r="C268" s="60" t="s">
        <v>80</v>
      </c>
      <c r="D268" s="61" t="s">
        <v>81</v>
      </c>
      <c r="E268" s="61" t="s">
        <v>88</v>
      </c>
      <c r="F268" s="60"/>
    </row>
    <row r="269" customFormat="false" ht="12.75" hidden="false" customHeight="false" outlineLevel="0" collapsed="false">
      <c r="A269" s="58" t="s">
        <v>529</v>
      </c>
      <c r="B269" s="59" t="s">
        <v>530</v>
      </c>
      <c r="C269" s="60" t="s">
        <v>80</v>
      </c>
      <c r="D269" s="61" t="s">
        <v>81</v>
      </c>
      <c r="E269" s="61" t="s">
        <v>88</v>
      </c>
      <c r="F269" s="60"/>
    </row>
    <row r="270" customFormat="false" ht="12.75" hidden="false" customHeight="false" outlineLevel="0" collapsed="false">
      <c r="A270" s="58" t="s">
        <v>531</v>
      </c>
      <c r="B270" s="59" t="s">
        <v>532</v>
      </c>
      <c r="C270" s="60" t="s">
        <v>80</v>
      </c>
      <c r="D270" s="61" t="s">
        <v>81</v>
      </c>
      <c r="E270" s="61" t="s">
        <v>88</v>
      </c>
      <c r="F270" s="60"/>
    </row>
    <row r="271" customFormat="false" ht="12.75" hidden="false" customHeight="false" outlineLevel="0" collapsed="false">
      <c r="A271" s="58" t="s">
        <v>533</v>
      </c>
      <c r="B271" s="59" t="s">
        <v>534</v>
      </c>
      <c r="C271" s="60" t="s">
        <v>80</v>
      </c>
      <c r="D271" s="61" t="s">
        <v>81</v>
      </c>
      <c r="E271" s="61" t="s">
        <v>88</v>
      </c>
      <c r="F271" s="60"/>
    </row>
    <row r="272" customFormat="false" ht="12.75" hidden="false" customHeight="false" outlineLevel="0" collapsed="false">
      <c r="A272" s="58" t="s">
        <v>535</v>
      </c>
      <c r="B272" s="59" t="s">
        <v>536</v>
      </c>
      <c r="C272" s="60" t="s">
        <v>80</v>
      </c>
      <c r="D272" s="61" t="s">
        <v>81</v>
      </c>
      <c r="E272" s="61" t="s">
        <v>88</v>
      </c>
      <c r="F272" s="60"/>
    </row>
    <row r="273" customFormat="false" ht="12.75" hidden="false" customHeight="false" outlineLevel="0" collapsed="false">
      <c r="A273" s="58" t="s">
        <v>537</v>
      </c>
      <c r="B273" s="59" t="s">
        <v>538</v>
      </c>
      <c r="C273" s="60" t="s">
        <v>80</v>
      </c>
      <c r="D273" s="61" t="s">
        <v>81</v>
      </c>
      <c r="E273" s="61" t="s">
        <v>88</v>
      </c>
      <c r="F273" s="60"/>
    </row>
    <row r="274" customFormat="false" ht="12.75" hidden="false" customHeight="false" outlineLevel="0" collapsed="false">
      <c r="A274" s="58" t="s">
        <v>539</v>
      </c>
      <c r="B274" s="59" t="s">
        <v>540</v>
      </c>
      <c r="C274" s="60" t="s">
        <v>87</v>
      </c>
      <c r="D274" s="61" t="s">
        <v>81</v>
      </c>
      <c r="E274" s="61" t="s">
        <v>88</v>
      </c>
      <c r="F274" s="60"/>
    </row>
    <row r="275" customFormat="false" ht="12.75" hidden="false" customHeight="false" outlineLevel="0" collapsed="false">
      <c r="A275" s="58" t="s">
        <v>541</v>
      </c>
      <c r="B275" s="59" t="s">
        <v>542</v>
      </c>
      <c r="C275" s="60" t="s">
        <v>87</v>
      </c>
      <c r="D275" s="61" t="s">
        <v>81</v>
      </c>
      <c r="E275" s="61" t="s">
        <v>88</v>
      </c>
      <c r="F275" s="60"/>
    </row>
    <row r="276" customFormat="false" ht="12.75" hidden="false" customHeight="false" outlineLevel="0" collapsed="false">
      <c r="A276" s="58" t="s">
        <v>543</v>
      </c>
      <c r="B276" s="59" t="s">
        <v>544</v>
      </c>
      <c r="C276" s="60" t="s">
        <v>87</v>
      </c>
      <c r="D276" s="61" t="s">
        <v>81</v>
      </c>
      <c r="E276" s="61" t="s">
        <v>88</v>
      </c>
      <c r="F276" s="60"/>
    </row>
    <row r="277" customFormat="false" ht="12.75" hidden="false" customHeight="false" outlineLevel="0" collapsed="false">
      <c r="A277" s="58" t="s">
        <v>545</v>
      </c>
      <c r="B277" s="59" t="s">
        <v>546</v>
      </c>
      <c r="C277" s="60" t="s">
        <v>87</v>
      </c>
      <c r="D277" s="61" t="s">
        <v>81</v>
      </c>
      <c r="E277" s="61" t="s">
        <v>88</v>
      </c>
      <c r="F277" s="60"/>
    </row>
    <row r="278" customFormat="false" ht="12.75" hidden="false" customHeight="false" outlineLevel="0" collapsed="false">
      <c r="A278" s="58" t="s">
        <v>547</v>
      </c>
      <c r="B278" s="59" t="s">
        <v>548</v>
      </c>
      <c r="C278" s="60" t="s">
        <v>87</v>
      </c>
      <c r="D278" s="61" t="s">
        <v>81</v>
      </c>
      <c r="E278" s="61" t="s">
        <v>88</v>
      </c>
      <c r="F278" s="60"/>
    </row>
    <row r="279" customFormat="false" ht="12.75" hidden="false" customHeight="false" outlineLevel="0" collapsed="false">
      <c r="A279" s="58" t="s">
        <v>549</v>
      </c>
      <c r="B279" s="59" t="s">
        <v>550</v>
      </c>
      <c r="C279" s="60" t="s">
        <v>87</v>
      </c>
      <c r="D279" s="61" t="s">
        <v>81</v>
      </c>
      <c r="E279" s="61" t="s">
        <v>88</v>
      </c>
      <c r="F279" s="60"/>
    </row>
    <row r="280" customFormat="false" ht="12.75" hidden="false" customHeight="false" outlineLevel="0" collapsed="false">
      <c r="A280" s="58" t="s">
        <v>551</v>
      </c>
      <c r="B280" s="59" t="s">
        <v>552</v>
      </c>
      <c r="C280" s="60" t="s">
        <v>87</v>
      </c>
      <c r="D280" s="61" t="s">
        <v>81</v>
      </c>
      <c r="E280" s="61" t="s">
        <v>88</v>
      </c>
      <c r="F280" s="60"/>
    </row>
    <row r="281" customFormat="false" ht="12.75" hidden="false" customHeight="false" outlineLevel="0" collapsed="false">
      <c r="A281" s="58"/>
      <c r="B281" s="59"/>
      <c r="C281" s="60"/>
      <c r="D281" s="61"/>
      <c r="E281" s="61"/>
      <c r="F281" s="60"/>
    </row>
    <row r="282" customFormat="false" ht="12.75" hidden="false" customHeight="false" outlineLevel="0" collapsed="false">
      <c r="A282" s="58" t="s">
        <v>553</v>
      </c>
      <c r="B282" s="59" t="s">
        <v>554</v>
      </c>
      <c r="C282" s="60" t="s">
        <v>106</v>
      </c>
      <c r="D282" s="61" t="s">
        <v>555</v>
      </c>
      <c r="E282" s="61" t="s">
        <v>82</v>
      </c>
      <c r="F282" s="60" t="s">
        <v>556</v>
      </c>
    </row>
    <row r="283" customFormat="false" ht="12.75" hidden="false" customHeight="false" outlineLevel="0" collapsed="false">
      <c r="A283" s="58" t="s">
        <v>557</v>
      </c>
      <c r="B283" s="59" t="s">
        <v>558</v>
      </c>
      <c r="C283" s="60" t="s">
        <v>106</v>
      </c>
      <c r="D283" s="61" t="s">
        <v>81</v>
      </c>
      <c r="E283" s="61" t="s">
        <v>82</v>
      </c>
      <c r="F283" s="60" t="s">
        <v>559</v>
      </c>
    </row>
    <row r="284" customFormat="false" ht="12.75" hidden="false" customHeight="false" outlineLevel="0" collapsed="false">
      <c r="A284" s="58"/>
      <c r="B284" s="59"/>
      <c r="C284" s="60"/>
      <c r="D284" s="61"/>
      <c r="E284" s="61"/>
      <c r="F284" s="60"/>
    </row>
    <row r="285" customFormat="false" ht="12.75" hidden="false" customHeight="false" outlineLevel="0" collapsed="false">
      <c r="A285" s="58" t="s">
        <v>560</v>
      </c>
      <c r="B285" s="59" t="s">
        <v>561</v>
      </c>
      <c r="C285" s="60" t="s">
        <v>106</v>
      </c>
      <c r="D285" s="61" t="s">
        <v>81</v>
      </c>
      <c r="E285" s="61" t="s">
        <v>82</v>
      </c>
      <c r="F285" s="60" t="s">
        <v>562</v>
      </c>
    </row>
    <row r="286" customFormat="false" ht="12.75" hidden="false" customHeight="false" outlineLevel="0" collapsed="false">
      <c r="A286" s="58" t="s">
        <v>563</v>
      </c>
      <c r="B286" s="59" t="s">
        <v>564</v>
      </c>
      <c r="C286" s="60" t="s">
        <v>106</v>
      </c>
      <c r="D286" s="61" t="s">
        <v>81</v>
      </c>
      <c r="E286" s="61" t="s">
        <v>82</v>
      </c>
      <c r="F286" s="60" t="s">
        <v>565</v>
      </c>
    </row>
    <row r="287" customFormat="false" ht="12.75" hidden="false" customHeight="false" outlineLevel="0" collapsed="false">
      <c r="A287" s="58"/>
      <c r="B287" s="59"/>
      <c r="C287" s="60"/>
      <c r="D287" s="61"/>
      <c r="E287" s="61"/>
      <c r="F287" s="60"/>
    </row>
    <row r="288" customFormat="false" ht="12.75" hidden="false" customHeight="false" outlineLevel="0" collapsed="false">
      <c r="A288" s="58" t="s">
        <v>566</v>
      </c>
      <c r="B288" s="59" t="s">
        <v>567</v>
      </c>
      <c r="C288" s="60" t="s">
        <v>106</v>
      </c>
      <c r="D288" s="61" t="s">
        <v>81</v>
      </c>
      <c r="E288" s="61" t="s">
        <v>82</v>
      </c>
      <c r="F288" s="60" t="s">
        <v>568</v>
      </c>
    </row>
    <row r="289" customFormat="false" ht="12.75" hidden="false" customHeight="false" outlineLevel="0" collapsed="false">
      <c r="A289" s="58" t="s">
        <v>569</v>
      </c>
      <c r="B289" s="59" t="s">
        <v>570</v>
      </c>
      <c r="C289" s="60" t="s">
        <v>87</v>
      </c>
      <c r="D289" s="61" t="s">
        <v>81</v>
      </c>
      <c r="E289" s="61" t="s">
        <v>82</v>
      </c>
      <c r="F289" s="60"/>
    </row>
    <row r="290" customFormat="false" ht="12.75" hidden="false" customHeight="false" outlineLevel="0" collapsed="false">
      <c r="A290" s="58"/>
      <c r="B290" s="59"/>
      <c r="C290" s="60"/>
      <c r="D290" s="61"/>
      <c r="E290" s="61"/>
      <c r="F290" s="60"/>
    </row>
    <row r="291" customFormat="false" ht="12.75" hidden="false" customHeight="false" outlineLevel="0" collapsed="false">
      <c r="A291" s="58" t="s">
        <v>571</v>
      </c>
      <c r="B291" s="59" t="s">
        <v>572</v>
      </c>
      <c r="C291" s="60" t="s">
        <v>106</v>
      </c>
      <c r="D291" s="61" t="s">
        <v>81</v>
      </c>
      <c r="E291" s="61" t="s">
        <v>82</v>
      </c>
      <c r="F291" s="60" t="s">
        <v>573</v>
      </c>
    </row>
    <row r="292" customFormat="false" ht="12.75" hidden="false" customHeight="false" outlineLevel="0" collapsed="false">
      <c r="A292" s="58" t="s">
        <v>574</v>
      </c>
      <c r="B292" s="59" t="s">
        <v>575</v>
      </c>
      <c r="C292" s="60" t="s">
        <v>106</v>
      </c>
      <c r="D292" s="61" t="s">
        <v>81</v>
      </c>
      <c r="E292" s="61" t="s">
        <v>82</v>
      </c>
      <c r="F292" s="60" t="s">
        <v>576</v>
      </c>
    </row>
    <row r="293" customFormat="false" ht="12.75" hidden="false" customHeight="false" outlineLevel="0" collapsed="false">
      <c r="A293" s="58"/>
      <c r="B293" s="59"/>
      <c r="C293" s="60"/>
      <c r="D293" s="61"/>
      <c r="E293" s="61"/>
      <c r="F293" s="60"/>
    </row>
    <row r="294" customFormat="false" ht="12.75" hidden="false" customHeight="false" outlineLevel="0" collapsed="false">
      <c r="A294" s="58" t="s">
        <v>577</v>
      </c>
      <c r="B294" s="59" t="s">
        <v>578</v>
      </c>
      <c r="C294" s="60" t="s">
        <v>106</v>
      </c>
      <c r="D294" s="61" t="s">
        <v>81</v>
      </c>
      <c r="E294" s="61" t="s">
        <v>82</v>
      </c>
      <c r="F294" s="60" t="s">
        <v>579</v>
      </c>
    </row>
    <row r="295" customFormat="false" ht="12.75" hidden="false" customHeight="false" outlineLevel="0" collapsed="false">
      <c r="A295" s="58" t="s">
        <v>580</v>
      </c>
      <c r="B295" s="59" t="s">
        <v>581</v>
      </c>
      <c r="C295" s="60" t="s">
        <v>106</v>
      </c>
      <c r="D295" s="61" t="s">
        <v>81</v>
      </c>
      <c r="E295" s="61" t="s">
        <v>82</v>
      </c>
      <c r="F295" s="60" t="s">
        <v>582</v>
      </c>
    </row>
    <row r="296" customFormat="false" ht="12.75" hidden="false" customHeight="false" outlineLevel="0" collapsed="false">
      <c r="A296" s="58"/>
      <c r="B296" s="59"/>
      <c r="C296" s="60"/>
      <c r="D296" s="61"/>
      <c r="E296" s="61"/>
      <c r="F296" s="60"/>
    </row>
    <row r="297" customFormat="false" ht="12.75" hidden="false" customHeight="false" outlineLevel="0" collapsed="false">
      <c r="A297" s="58" t="s">
        <v>583</v>
      </c>
      <c r="B297" s="59" t="s">
        <v>584</v>
      </c>
      <c r="C297" s="60" t="s">
        <v>585</v>
      </c>
      <c r="D297" s="61" t="s">
        <v>81</v>
      </c>
      <c r="E297" s="61" t="s">
        <v>82</v>
      </c>
      <c r="F297" s="60"/>
    </row>
    <row r="298" customFormat="false" ht="12.75" hidden="false" customHeight="false" outlineLevel="0" collapsed="false">
      <c r="A298" s="58" t="s">
        <v>586</v>
      </c>
      <c r="B298" s="59" t="s">
        <v>587</v>
      </c>
      <c r="C298" s="60" t="s">
        <v>585</v>
      </c>
      <c r="D298" s="61" t="s">
        <v>81</v>
      </c>
      <c r="E298" s="61" t="s">
        <v>82</v>
      </c>
      <c r="F298" s="60"/>
    </row>
    <row r="299" customFormat="false" ht="12.75" hidden="false" customHeight="false" outlineLevel="0" collapsed="false">
      <c r="A299" s="58"/>
      <c r="B299" s="59"/>
      <c r="C299" s="60"/>
      <c r="D299" s="61"/>
      <c r="E299" s="61"/>
      <c r="F299" s="60"/>
    </row>
    <row r="300" customFormat="false" ht="12.75" hidden="false" customHeight="false" outlineLevel="0" collapsed="false">
      <c r="A300" s="58" t="s">
        <v>588</v>
      </c>
      <c r="B300" s="59" t="s">
        <v>589</v>
      </c>
      <c r="C300" s="60" t="s">
        <v>585</v>
      </c>
      <c r="D300" s="61" t="s">
        <v>81</v>
      </c>
      <c r="E300" s="61" t="s">
        <v>82</v>
      </c>
      <c r="F300" s="60"/>
    </row>
    <row r="301" customFormat="false" ht="12.75" hidden="false" customHeight="false" outlineLevel="0" collapsed="false">
      <c r="A301" s="58" t="s">
        <v>590</v>
      </c>
      <c r="B301" s="59" t="s">
        <v>591</v>
      </c>
      <c r="C301" s="60" t="s">
        <v>585</v>
      </c>
      <c r="D301" s="61" t="s">
        <v>81</v>
      </c>
      <c r="E301" s="61" t="s">
        <v>82</v>
      </c>
      <c r="F301" s="60"/>
    </row>
    <row r="302" customFormat="false" ht="12.75" hidden="false" customHeight="false" outlineLevel="0" collapsed="false">
      <c r="A302" s="58"/>
      <c r="B302" s="59"/>
      <c r="C302" s="60"/>
      <c r="D302" s="61"/>
      <c r="E302" s="61"/>
      <c r="F302" s="60"/>
    </row>
    <row r="303" customFormat="false" ht="12.75" hidden="false" customHeight="false" outlineLevel="0" collapsed="false">
      <c r="A303" s="58" t="s">
        <v>592</v>
      </c>
      <c r="B303" s="59" t="s">
        <v>593</v>
      </c>
      <c r="C303" s="60" t="s">
        <v>106</v>
      </c>
      <c r="D303" s="61" t="s">
        <v>81</v>
      </c>
      <c r="E303" s="61" t="s">
        <v>82</v>
      </c>
      <c r="F303" s="60"/>
    </row>
    <row r="304" customFormat="false" ht="12.75" hidden="false" customHeight="false" outlineLevel="0" collapsed="false">
      <c r="A304" s="58"/>
      <c r="B304" s="59"/>
      <c r="C304" s="60"/>
      <c r="D304" s="61"/>
      <c r="E304" s="61"/>
      <c r="F304" s="60"/>
    </row>
    <row r="305" customFormat="false" ht="12.75" hidden="false" customHeight="false" outlineLevel="0" collapsed="false">
      <c r="A305" s="58" t="s">
        <v>594</v>
      </c>
      <c r="B305" s="59" t="s">
        <v>595</v>
      </c>
      <c r="C305" s="60" t="s">
        <v>106</v>
      </c>
      <c r="D305" s="61" t="s">
        <v>231</v>
      </c>
      <c r="E305" s="61" t="s">
        <v>88</v>
      </c>
      <c r="F305" s="60"/>
    </row>
    <row r="306" customFormat="false" ht="12.75" hidden="false" customHeight="false" outlineLevel="0" collapsed="false">
      <c r="A306" s="58"/>
      <c r="B306" s="59"/>
      <c r="C306" s="60"/>
      <c r="D306" s="61"/>
      <c r="E306" s="61"/>
      <c r="F306" s="60"/>
    </row>
    <row r="307" customFormat="false" ht="12.75" hidden="false" customHeight="false" outlineLevel="0" collapsed="false">
      <c r="A307" s="58" t="s">
        <v>596</v>
      </c>
      <c r="B307" s="59" t="s">
        <v>597</v>
      </c>
      <c r="C307" s="60" t="s">
        <v>87</v>
      </c>
      <c r="D307" s="61" t="s">
        <v>231</v>
      </c>
      <c r="E307" s="61" t="s">
        <v>88</v>
      </c>
      <c r="F307" s="60"/>
    </row>
    <row r="308" customFormat="false" ht="12.75" hidden="false" customHeight="false" outlineLevel="0" collapsed="false">
      <c r="A308" s="58"/>
      <c r="B308" s="59"/>
      <c r="C308" s="60"/>
      <c r="D308" s="61"/>
      <c r="E308" s="61"/>
      <c r="F308" s="60"/>
    </row>
    <row r="309" customFormat="false" ht="12.75" hidden="false" customHeight="false" outlineLevel="0" collapsed="false">
      <c r="A309" s="58" t="s">
        <v>598</v>
      </c>
      <c r="B309" s="59" t="s">
        <v>599</v>
      </c>
      <c r="C309" s="60" t="s">
        <v>106</v>
      </c>
      <c r="D309" s="61" t="s">
        <v>81</v>
      </c>
      <c r="E309" s="61" t="s">
        <v>82</v>
      </c>
      <c r="F309" s="60" t="s">
        <v>600</v>
      </c>
    </row>
    <row r="310" customFormat="false" ht="12.75" hidden="false" customHeight="false" outlineLevel="0" collapsed="false">
      <c r="A310" s="58" t="s">
        <v>601</v>
      </c>
      <c r="B310" s="59" t="s">
        <v>602</v>
      </c>
      <c r="C310" s="60" t="s">
        <v>106</v>
      </c>
      <c r="D310" s="61" t="s">
        <v>81</v>
      </c>
      <c r="E310" s="61" t="s">
        <v>82</v>
      </c>
      <c r="F310" s="60" t="s">
        <v>603</v>
      </c>
    </row>
    <row r="311" customFormat="false" ht="12.75" hidden="false" customHeight="false" outlineLevel="0" collapsed="false">
      <c r="A311" s="58"/>
      <c r="B311" s="59"/>
      <c r="C311" s="60"/>
      <c r="D311" s="61"/>
      <c r="E311" s="61"/>
      <c r="F311" s="60"/>
    </row>
    <row r="312" customFormat="false" ht="12.75" hidden="false" customHeight="false" outlineLevel="0" collapsed="false">
      <c r="A312" s="58" t="s">
        <v>604</v>
      </c>
      <c r="B312" s="59" t="s">
        <v>605</v>
      </c>
      <c r="C312" s="60" t="s">
        <v>106</v>
      </c>
      <c r="D312" s="61" t="s">
        <v>81</v>
      </c>
      <c r="E312" s="61" t="s">
        <v>82</v>
      </c>
      <c r="F312" s="60" t="s">
        <v>606</v>
      </c>
    </row>
    <row r="313" customFormat="false" ht="12.75" hidden="false" customHeight="false" outlineLevel="0" collapsed="false">
      <c r="A313" s="58" t="s">
        <v>607</v>
      </c>
      <c r="B313" s="59" t="s">
        <v>608</v>
      </c>
      <c r="C313" s="60" t="s">
        <v>106</v>
      </c>
      <c r="D313" s="61" t="s">
        <v>81</v>
      </c>
      <c r="E313" s="61" t="s">
        <v>82</v>
      </c>
      <c r="F313" s="60" t="s">
        <v>609</v>
      </c>
    </row>
    <row r="314" customFormat="false" ht="12.75" hidden="false" customHeight="false" outlineLevel="0" collapsed="false">
      <c r="A314" s="58"/>
      <c r="B314" s="59"/>
      <c r="C314" s="60"/>
      <c r="D314" s="61"/>
      <c r="E314" s="61"/>
      <c r="F314" s="60"/>
    </row>
    <row r="315" customFormat="false" ht="12.75" hidden="false" customHeight="false" outlineLevel="0" collapsed="false">
      <c r="A315" s="58" t="s">
        <v>610</v>
      </c>
      <c r="B315" s="59" t="s">
        <v>611</v>
      </c>
      <c r="C315" s="60" t="s">
        <v>106</v>
      </c>
      <c r="D315" s="61" t="s">
        <v>81</v>
      </c>
      <c r="E315" s="61" t="s">
        <v>82</v>
      </c>
      <c r="F315" s="60" t="s">
        <v>254</v>
      </c>
    </row>
    <row r="316" customFormat="false" ht="12.75" hidden="false" customHeight="false" outlineLevel="0" collapsed="false">
      <c r="A316" s="58" t="s">
        <v>612</v>
      </c>
      <c r="B316" s="59" t="s">
        <v>613</v>
      </c>
      <c r="C316" s="60" t="s">
        <v>106</v>
      </c>
      <c r="D316" s="61" t="s">
        <v>81</v>
      </c>
      <c r="E316" s="61" t="s">
        <v>82</v>
      </c>
      <c r="F316" s="60" t="s">
        <v>257</v>
      </c>
    </row>
    <row r="317" customFormat="false" ht="12.75" hidden="false" customHeight="false" outlineLevel="0" collapsed="false">
      <c r="A317" s="58"/>
      <c r="B317" s="59"/>
      <c r="C317" s="60"/>
      <c r="D317" s="61"/>
      <c r="E317" s="61"/>
      <c r="F317" s="60"/>
    </row>
    <row r="318" customFormat="false" ht="12.75" hidden="false" customHeight="false" outlineLevel="0" collapsed="false">
      <c r="A318" s="58" t="s">
        <v>614</v>
      </c>
      <c r="B318" s="59" t="s">
        <v>615</v>
      </c>
      <c r="C318" s="60" t="s">
        <v>585</v>
      </c>
      <c r="D318" s="61" t="s">
        <v>81</v>
      </c>
      <c r="E318" s="61" t="s">
        <v>82</v>
      </c>
      <c r="F318" s="60"/>
    </row>
    <row r="319" customFormat="false" ht="12.75" hidden="false" customHeight="false" outlineLevel="0" collapsed="false">
      <c r="A319" s="58" t="s">
        <v>616</v>
      </c>
      <c r="B319" s="59" t="s">
        <v>617</v>
      </c>
      <c r="C319" s="60" t="s">
        <v>585</v>
      </c>
      <c r="D319" s="61" t="s">
        <v>81</v>
      </c>
      <c r="E319" s="61" t="s">
        <v>82</v>
      </c>
      <c r="F319" s="60"/>
    </row>
    <row r="320" customFormat="false" ht="12.75" hidden="false" customHeight="false" outlineLevel="0" collapsed="false">
      <c r="A320" s="58"/>
      <c r="B320" s="59"/>
      <c r="C320" s="60"/>
      <c r="D320" s="61"/>
      <c r="E320" s="61"/>
      <c r="F320" s="60"/>
    </row>
    <row r="321" customFormat="false" ht="12.75" hidden="false" customHeight="false" outlineLevel="0" collapsed="false">
      <c r="A321" s="58" t="s">
        <v>618</v>
      </c>
      <c r="B321" s="59" t="s">
        <v>619</v>
      </c>
      <c r="C321" s="60" t="s">
        <v>585</v>
      </c>
      <c r="D321" s="61" t="s">
        <v>81</v>
      </c>
      <c r="E321" s="61" t="s">
        <v>82</v>
      </c>
      <c r="F321" s="60"/>
    </row>
    <row r="322" customFormat="false" ht="12.75" hidden="false" customHeight="false" outlineLevel="0" collapsed="false">
      <c r="A322" s="58" t="s">
        <v>620</v>
      </c>
      <c r="B322" s="59" t="s">
        <v>621</v>
      </c>
      <c r="C322" s="60" t="s">
        <v>585</v>
      </c>
      <c r="D322" s="61" t="s">
        <v>81</v>
      </c>
      <c r="E322" s="61" t="s">
        <v>82</v>
      </c>
      <c r="F322" s="60"/>
    </row>
    <row r="323" customFormat="false" ht="12.75" hidden="false" customHeight="false" outlineLevel="0" collapsed="false">
      <c r="A323" s="58"/>
      <c r="B323" s="59"/>
      <c r="C323" s="60"/>
      <c r="D323" s="61"/>
      <c r="E323" s="61"/>
      <c r="F323" s="60"/>
    </row>
    <row r="324" customFormat="false" ht="12.75" hidden="false" customHeight="false" outlineLevel="0" collapsed="false">
      <c r="A324" s="58" t="s">
        <v>622</v>
      </c>
      <c r="B324" s="59" t="s">
        <v>623</v>
      </c>
      <c r="C324" s="60" t="s">
        <v>106</v>
      </c>
      <c r="D324" s="61" t="s">
        <v>81</v>
      </c>
      <c r="E324" s="61" t="s">
        <v>82</v>
      </c>
      <c r="F324" s="60" t="s">
        <v>624</v>
      </c>
    </row>
    <row r="325" customFormat="false" ht="12.75" hidden="false" customHeight="false" outlineLevel="0" collapsed="false">
      <c r="A325" s="58" t="s">
        <v>625</v>
      </c>
      <c r="B325" s="59" t="s">
        <v>626</v>
      </c>
      <c r="C325" s="60" t="s">
        <v>106</v>
      </c>
      <c r="D325" s="61" t="s">
        <v>81</v>
      </c>
      <c r="E325" s="61" t="s">
        <v>82</v>
      </c>
      <c r="F325" s="60" t="s">
        <v>627</v>
      </c>
    </row>
    <row r="326" customFormat="false" ht="12.75" hidden="false" customHeight="false" outlineLevel="0" collapsed="false">
      <c r="A326" s="58"/>
      <c r="B326" s="59"/>
      <c r="C326" s="60"/>
      <c r="D326" s="61"/>
      <c r="E326" s="61"/>
      <c r="F326" s="60"/>
    </row>
    <row r="327" customFormat="false" ht="12.75" hidden="false" customHeight="false" outlineLevel="0" collapsed="false">
      <c r="A327" s="58" t="s">
        <v>628</v>
      </c>
      <c r="B327" s="59" t="s">
        <v>629</v>
      </c>
      <c r="C327" s="60" t="s">
        <v>106</v>
      </c>
      <c r="D327" s="61" t="s">
        <v>81</v>
      </c>
      <c r="E327" s="61" t="s">
        <v>82</v>
      </c>
      <c r="F327" s="60" t="s">
        <v>630</v>
      </c>
    </row>
    <row r="328" customFormat="false" ht="12.75" hidden="false" customHeight="false" outlineLevel="0" collapsed="false">
      <c r="A328" s="58"/>
      <c r="B328" s="59"/>
      <c r="C328" s="60"/>
      <c r="D328" s="61"/>
      <c r="E328" s="61"/>
      <c r="F328" s="60"/>
    </row>
    <row r="329" customFormat="false" ht="12.75" hidden="false" customHeight="false" outlineLevel="0" collapsed="false">
      <c r="A329" s="58" t="s">
        <v>631</v>
      </c>
      <c r="B329" s="59" t="s">
        <v>632</v>
      </c>
      <c r="C329" s="60" t="s">
        <v>106</v>
      </c>
      <c r="D329" s="61" t="s">
        <v>633</v>
      </c>
      <c r="E329" s="61" t="s">
        <v>82</v>
      </c>
      <c r="F329" s="60" t="s">
        <v>634</v>
      </c>
    </row>
    <row r="330" customFormat="false" ht="12.75" hidden="false" customHeight="false" outlineLevel="0" collapsed="false">
      <c r="A330" s="58" t="s">
        <v>635</v>
      </c>
      <c r="B330" s="59" t="s">
        <v>636</v>
      </c>
      <c r="C330" s="60" t="s">
        <v>106</v>
      </c>
      <c r="D330" s="61" t="s">
        <v>633</v>
      </c>
      <c r="E330" s="61" t="s">
        <v>82</v>
      </c>
      <c r="F330" s="60" t="s">
        <v>637</v>
      </c>
    </row>
    <row r="331" customFormat="false" ht="12.75" hidden="false" customHeight="false" outlineLevel="0" collapsed="false">
      <c r="A331" s="58" t="s">
        <v>638</v>
      </c>
      <c r="B331" s="59" t="s">
        <v>639</v>
      </c>
      <c r="C331" s="60" t="s">
        <v>106</v>
      </c>
      <c r="D331" s="61" t="s">
        <v>633</v>
      </c>
      <c r="E331" s="61" t="s">
        <v>82</v>
      </c>
      <c r="F331" s="60" t="s">
        <v>640</v>
      </c>
    </row>
    <row r="332" customFormat="false" ht="12.75" hidden="false" customHeight="false" outlineLevel="0" collapsed="false">
      <c r="A332" s="58" t="s">
        <v>641</v>
      </c>
      <c r="B332" s="59" t="s">
        <v>642</v>
      </c>
      <c r="C332" s="60" t="s">
        <v>106</v>
      </c>
      <c r="D332" s="61" t="s">
        <v>633</v>
      </c>
      <c r="E332" s="61" t="s">
        <v>82</v>
      </c>
      <c r="F332" s="60" t="s">
        <v>643</v>
      </c>
    </row>
    <row r="333" customFormat="false" ht="12.75" hidden="false" customHeight="false" outlineLevel="0" collapsed="false">
      <c r="A333" s="58" t="s">
        <v>644</v>
      </c>
      <c r="B333" s="59" t="s">
        <v>645</v>
      </c>
      <c r="C333" s="60" t="s">
        <v>106</v>
      </c>
      <c r="D333" s="61" t="s">
        <v>633</v>
      </c>
      <c r="E333" s="61" t="s">
        <v>82</v>
      </c>
      <c r="F333" s="60" t="s">
        <v>421</v>
      </c>
    </row>
    <row r="334" customFormat="false" ht="12.75" hidden="false" customHeight="false" outlineLevel="0" collapsed="false">
      <c r="A334" s="58" t="s">
        <v>646</v>
      </c>
      <c r="B334" s="59" t="s">
        <v>647</v>
      </c>
      <c r="C334" s="60" t="s">
        <v>106</v>
      </c>
      <c r="D334" s="61" t="s">
        <v>633</v>
      </c>
      <c r="E334" s="61" t="s">
        <v>82</v>
      </c>
      <c r="F334" s="60" t="s">
        <v>424</v>
      </c>
    </row>
    <row r="335" customFormat="false" ht="12.75" hidden="false" customHeight="false" outlineLevel="0" collapsed="false">
      <c r="A335" s="58"/>
      <c r="B335" s="59"/>
      <c r="C335" s="60"/>
      <c r="D335" s="61"/>
      <c r="E335" s="61"/>
      <c r="F335" s="60"/>
    </row>
    <row r="336" customFormat="false" ht="12.75" hidden="false" customHeight="false" outlineLevel="0" collapsed="false">
      <c r="A336" s="58" t="s">
        <v>648</v>
      </c>
      <c r="B336" s="59" t="s">
        <v>649</v>
      </c>
      <c r="C336" s="60" t="s">
        <v>87</v>
      </c>
      <c r="D336" s="61" t="s">
        <v>81</v>
      </c>
      <c r="E336" s="61" t="s">
        <v>82</v>
      </c>
      <c r="F336" s="60"/>
    </row>
    <row r="337" customFormat="false" ht="12.75" hidden="false" customHeight="false" outlineLevel="0" collapsed="false">
      <c r="A337" s="58" t="s">
        <v>650</v>
      </c>
      <c r="B337" s="59" t="s">
        <v>651</v>
      </c>
      <c r="C337" s="60" t="s">
        <v>87</v>
      </c>
      <c r="D337" s="61" t="s">
        <v>81</v>
      </c>
      <c r="E337" s="61" t="s">
        <v>82</v>
      </c>
      <c r="F337" s="60"/>
    </row>
    <row r="338" customFormat="false" ht="12.75" hidden="false" customHeight="false" outlineLevel="0" collapsed="false">
      <c r="A338" s="58"/>
      <c r="B338" s="59"/>
      <c r="C338" s="60"/>
      <c r="D338" s="61"/>
      <c r="E338" s="61"/>
      <c r="F338" s="60"/>
    </row>
    <row r="339" customFormat="false" ht="12.75" hidden="false" customHeight="false" outlineLevel="0" collapsed="false">
      <c r="A339" s="58" t="s">
        <v>652</v>
      </c>
      <c r="B339" s="59" t="s">
        <v>653</v>
      </c>
      <c r="C339" s="60" t="s">
        <v>106</v>
      </c>
      <c r="D339" s="61" t="s">
        <v>216</v>
      </c>
      <c r="E339" s="61" t="s">
        <v>82</v>
      </c>
      <c r="F339" s="60"/>
    </row>
    <row r="340" customFormat="false" ht="12.75" hidden="false" customHeight="false" outlineLevel="0" collapsed="false">
      <c r="A340" s="58"/>
      <c r="B340" s="59"/>
      <c r="C340" s="60"/>
      <c r="D340" s="61"/>
      <c r="E340" s="61"/>
      <c r="F340" s="60"/>
    </row>
    <row r="341" customFormat="false" ht="12.75" hidden="false" customHeight="false" outlineLevel="0" collapsed="false">
      <c r="A341" s="58" t="s">
        <v>654</v>
      </c>
      <c r="B341" s="59" t="s">
        <v>655</v>
      </c>
      <c r="C341" s="60" t="s">
        <v>87</v>
      </c>
      <c r="D341" s="61" t="s">
        <v>231</v>
      </c>
      <c r="E341" s="61" t="s">
        <v>82</v>
      </c>
      <c r="F341" s="60"/>
    </row>
    <row r="342" customFormat="false" ht="12.75" hidden="false" customHeight="false" outlineLevel="0" collapsed="false">
      <c r="A342" s="58"/>
      <c r="B342" s="59"/>
      <c r="C342" s="60"/>
      <c r="D342" s="61"/>
      <c r="E342" s="61"/>
      <c r="F342" s="60"/>
    </row>
    <row r="343" customFormat="false" ht="12.75" hidden="false" customHeight="false" outlineLevel="0" collapsed="false">
      <c r="A343" s="58" t="s">
        <v>656</v>
      </c>
      <c r="B343" s="59" t="s">
        <v>657</v>
      </c>
      <c r="C343" s="60" t="s">
        <v>87</v>
      </c>
      <c r="D343" s="61" t="s">
        <v>81</v>
      </c>
      <c r="E343" s="61" t="s">
        <v>82</v>
      </c>
      <c r="F343" s="60"/>
    </row>
    <row r="344" customFormat="false" ht="12.75" hidden="false" customHeight="false" outlineLevel="0" collapsed="false">
      <c r="A344" s="58"/>
      <c r="B344" s="59"/>
      <c r="C344" s="60"/>
      <c r="D344" s="61"/>
      <c r="E344" s="61"/>
      <c r="F344" s="60"/>
    </row>
    <row r="345" customFormat="false" ht="12.75" hidden="false" customHeight="false" outlineLevel="0" collapsed="false">
      <c r="A345" s="58" t="s">
        <v>658</v>
      </c>
      <c r="B345" s="59" t="s">
        <v>659</v>
      </c>
      <c r="C345" s="60" t="s">
        <v>87</v>
      </c>
      <c r="D345" s="61" t="s">
        <v>81</v>
      </c>
      <c r="E345" s="61" t="s">
        <v>88</v>
      </c>
      <c r="F345" s="60"/>
    </row>
    <row r="346" customFormat="false" ht="12.75" hidden="false" customHeight="false" outlineLevel="0" collapsed="false">
      <c r="A346" s="58" t="s">
        <v>660</v>
      </c>
      <c r="B346" s="59" t="s">
        <v>661</v>
      </c>
      <c r="C346" s="60" t="s">
        <v>87</v>
      </c>
      <c r="D346" s="61" t="s">
        <v>81</v>
      </c>
      <c r="E346" s="61" t="s">
        <v>88</v>
      </c>
      <c r="F346" s="60"/>
    </row>
    <row r="347" customFormat="false" ht="12.75" hidden="false" customHeight="false" outlineLevel="0" collapsed="false">
      <c r="A347" s="58" t="s">
        <v>662</v>
      </c>
      <c r="B347" s="59" t="s">
        <v>663</v>
      </c>
      <c r="C347" s="60" t="s">
        <v>87</v>
      </c>
      <c r="D347" s="61" t="s">
        <v>81</v>
      </c>
      <c r="E347" s="61" t="s">
        <v>88</v>
      </c>
      <c r="F347" s="60"/>
    </row>
    <row r="348" customFormat="false" ht="12.75" hidden="false" customHeight="false" outlineLevel="0" collapsed="false">
      <c r="A348" s="58" t="s">
        <v>664</v>
      </c>
      <c r="B348" s="59" t="s">
        <v>665</v>
      </c>
      <c r="C348" s="60" t="s">
        <v>87</v>
      </c>
      <c r="D348" s="61" t="s">
        <v>81</v>
      </c>
      <c r="E348" s="61" t="s">
        <v>88</v>
      </c>
      <c r="F348" s="60"/>
    </row>
    <row r="349" customFormat="false" ht="12.75" hidden="false" customHeight="false" outlineLevel="0" collapsed="false">
      <c r="A349" s="58" t="s">
        <v>666</v>
      </c>
      <c r="B349" s="59" t="s">
        <v>667</v>
      </c>
      <c r="C349" s="60" t="s">
        <v>87</v>
      </c>
      <c r="D349" s="61" t="s">
        <v>81</v>
      </c>
      <c r="E349" s="61" t="s">
        <v>88</v>
      </c>
      <c r="F349" s="60"/>
    </row>
    <row r="350" customFormat="false" ht="12.75" hidden="false" customHeight="false" outlineLevel="0" collapsed="false">
      <c r="A350" s="58" t="s">
        <v>668</v>
      </c>
      <c r="B350" s="59" t="s">
        <v>669</v>
      </c>
      <c r="C350" s="60" t="s">
        <v>87</v>
      </c>
      <c r="D350" s="61" t="s">
        <v>81</v>
      </c>
      <c r="E350" s="61" t="s">
        <v>88</v>
      </c>
      <c r="F350" s="60"/>
    </row>
    <row r="351" customFormat="false" ht="12.75" hidden="false" customHeight="false" outlineLevel="0" collapsed="false">
      <c r="A351" s="58" t="s">
        <v>670</v>
      </c>
      <c r="B351" s="59" t="s">
        <v>671</v>
      </c>
      <c r="C351" s="60" t="s">
        <v>672</v>
      </c>
      <c r="D351" s="61" t="s">
        <v>673</v>
      </c>
      <c r="E351" s="61" t="s">
        <v>88</v>
      </c>
      <c r="F351" s="60"/>
    </row>
    <row r="352" customFormat="false" ht="12.75" hidden="false" customHeight="false" outlineLevel="0" collapsed="false">
      <c r="A352" s="58" t="s">
        <v>674</v>
      </c>
      <c r="B352" s="59" t="s">
        <v>675</v>
      </c>
      <c r="C352" s="60" t="s">
        <v>672</v>
      </c>
      <c r="D352" s="61" t="s">
        <v>676</v>
      </c>
      <c r="E352" s="61" t="s">
        <v>88</v>
      </c>
      <c r="F352" s="60"/>
    </row>
    <row r="353" customFormat="false" ht="12.75" hidden="false" customHeight="false" outlineLevel="0" collapsed="false">
      <c r="A353" s="58" t="s">
        <v>677</v>
      </c>
      <c r="B353" s="59" t="s">
        <v>678</v>
      </c>
      <c r="C353" s="60" t="s">
        <v>80</v>
      </c>
      <c r="D353" s="61" t="s">
        <v>81</v>
      </c>
      <c r="E353" s="61" t="s">
        <v>88</v>
      </c>
      <c r="F353" s="60"/>
    </row>
    <row r="354" customFormat="false" ht="12.75" hidden="false" customHeight="false" outlineLevel="0" collapsed="false">
      <c r="A354" s="58"/>
      <c r="B354" s="59"/>
      <c r="C354" s="60"/>
      <c r="D354" s="61"/>
      <c r="E354" s="61"/>
      <c r="F354" s="60"/>
    </row>
    <row r="355" customFormat="false" ht="12.75" hidden="false" customHeight="false" outlineLevel="0" collapsed="false">
      <c r="A355" s="58" t="s">
        <v>679</v>
      </c>
      <c r="B355" s="59" t="s">
        <v>680</v>
      </c>
      <c r="C355" s="60" t="s">
        <v>87</v>
      </c>
      <c r="D355" s="61" t="s">
        <v>231</v>
      </c>
      <c r="E355" s="61" t="s">
        <v>88</v>
      </c>
      <c r="F355" s="60"/>
    </row>
    <row r="356" customFormat="false" ht="12.75" hidden="false" customHeight="false" outlineLevel="0" collapsed="false">
      <c r="A356" s="58"/>
      <c r="B356" s="59"/>
      <c r="C356" s="60"/>
      <c r="D356" s="61"/>
      <c r="E356" s="61"/>
      <c r="F356" s="60"/>
    </row>
    <row r="357" customFormat="false" ht="12.75" hidden="false" customHeight="false" outlineLevel="0" collapsed="false">
      <c r="A357" s="58" t="s">
        <v>681</v>
      </c>
      <c r="B357" s="59" t="s">
        <v>682</v>
      </c>
      <c r="C357" s="60" t="s">
        <v>106</v>
      </c>
      <c r="D357" s="61" t="s">
        <v>683</v>
      </c>
      <c r="E357" s="61" t="s">
        <v>88</v>
      </c>
      <c r="F357" s="60"/>
    </row>
    <row r="358" customFormat="false" ht="12.75" hidden="false" customHeight="false" outlineLevel="0" collapsed="false">
      <c r="A358" s="58" t="s">
        <v>684</v>
      </c>
      <c r="B358" s="59" t="s">
        <v>685</v>
      </c>
      <c r="C358" s="60" t="s">
        <v>106</v>
      </c>
      <c r="D358" s="61" t="s">
        <v>683</v>
      </c>
      <c r="E358" s="61" t="s">
        <v>88</v>
      </c>
      <c r="F358" s="60"/>
    </row>
    <row r="359" customFormat="false" ht="12.75" hidden="false" customHeight="false" outlineLevel="0" collapsed="false">
      <c r="A359" s="58" t="s">
        <v>686</v>
      </c>
      <c r="B359" s="59" t="s">
        <v>687</v>
      </c>
      <c r="C359" s="60" t="s">
        <v>106</v>
      </c>
      <c r="D359" s="61" t="s">
        <v>683</v>
      </c>
      <c r="E359" s="61" t="s">
        <v>88</v>
      </c>
      <c r="F359" s="60"/>
    </row>
    <row r="360" customFormat="false" ht="12.75" hidden="false" customHeight="false" outlineLevel="0" collapsed="false">
      <c r="A360" s="58" t="s">
        <v>688</v>
      </c>
      <c r="B360" s="59" t="s">
        <v>689</v>
      </c>
      <c r="C360" s="60" t="s">
        <v>106</v>
      </c>
      <c r="D360" s="61" t="s">
        <v>683</v>
      </c>
      <c r="E360" s="61" t="s">
        <v>88</v>
      </c>
      <c r="F360" s="60"/>
    </row>
    <row r="361" customFormat="false" ht="12.75" hidden="false" customHeight="false" outlineLevel="0" collapsed="false">
      <c r="A361" s="58" t="s">
        <v>690</v>
      </c>
      <c r="B361" s="59" t="s">
        <v>691</v>
      </c>
      <c r="C361" s="60" t="s">
        <v>106</v>
      </c>
      <c r="D361" s="61" t="s">
        <v>683</v>
      </c>
      <c r="E361" s="61" t="s">
        <v>88</v>
      </c>
      <c r="F361" s="60"/>
    </row>
    <row r="362" customFormat="false" ht="12.75" hidden="false" customHeight="false" outlineLevel="0" collapsed="false">
      <c r="A362" s="58" t="s">
        <v>692</v>
      </c>
      <c r="B362" s="59" t="s">
        <v>693</v>
      </c>
      <c r="C362" s="60" t="s">
        <v>106</v>
      </c>
      <c r="D362" s="61" t="s">
        <v>683</v>
      </c>
      <c r="E362" s="61" t="s">
        <v>88</v>
      </c>
      <c r="F362" s="60"/>
    </row>
    <row r="363" customFormat="false" ht="12.75" hidden="false" customHeight="false" outlineLevel="0" collapsed="false">
      <c r="A363" s="58" t="s">
        <v>694</v>
      </c>
      <c r="B363" s="59" t="s">
        <v>695</v>
      </c>
      <c r="C363" s="60" t="s">
        <v>106</v>
      </c>
      <c r="D363" s="61" t="s">
        <v>683</v>
      </c>
      <c r="E363" s="61" t="s">
        <v>88</v>
      </c>
      <c r="F363" s="60"/>
    </row>
    <row r="364" customFormat="false" ht="12.75" hidden="false" customHeight="false" outlineLevel="0" collapsed="false">
      <c r="A364" s="58" t="s">
        <v>696</v>
      </c>
      <c r="B364" s="59" t="s">
        <v>697</v>
      </c>
      <c r="C364" s="60" t="s">
        <v>106</v>
      </c>
      <c r="D364" s="61" t="s">
        <v>683</v>
      </c>
      <c r="E364" s="61" t="s">
        <v>88</v>
      </c>
      <c r="F364" s="60"/>
    </row>
    <row r="365" customFormat="false" ht="12.75" hidden="false" customHeight="false" outlineLevel="0" collapsed="false">
      <c r="A365" s="58" t="s">
        <v>698</v>
      </c>
      <c r="B365" s="59" t="s">
        <v>699</v>
      </c>
      <c r="C365" s="60" t="s">
        <v>106</v>
      </c>
      <c r="D365" s="61" t="s">
        <v>683</v>
      </c>
      <c r="E365" s="61" t="s">
        <v>88</v>
      </c>
      <c r="F365" s="60"/>
    </row>
    <row r="366" customFormat="false" ht="12.75" hidden="false" customHeight="false" outlineLevel="0" collapsed="false">
      <c r="A366" s="58" t="s">
        <v>700</v>
      </c>
      <c r="B366" s="59" t="s">
        <v>701</v>
      </c>
      <c r="C366" s="60" t="s">
        <v>106</v>
      </c>
      <c r="D366" s="61" t="s">
        <v>683</v>
      </c>
      <c r="E366" s="61" t="s">
        <v>88</v>
      </c>
      <c r="F366" s="60"/>
    </row>
    <row r="367" customFormat="false" ht="12.75" hidden="false" customHeight="false" outlineLevel="0" collapsed="false">
      <c r="A367" s="58" t="s">
        <v>702</v>
      </c>
      <c r="B367" s="59" t="s">
        <v>703</v>
      </c>
      <c r="C367" s="60" t="s">
        <v>106</v>
      </c>
      <c r="D367" s="61" t="s">
        <v>683</v>
      </c>
      <c r="E367" s="61" t="s">
        <v>88</v>
      </c>
      <c r="F367" s="60"/>
    </row>
    <row r="368" customFormat="false" ht="12.75" hidden="false" customHeight="false" outlineLevel="0" collapsed="false">
      <c r="A368" s="58" t="s">
        <v>704</v>
      </c>
      <c r="B368" s="59" t="s">
        <v>705</v>
      </c>
      <c r="C368" s="60" t="s">
        <v>106</v>
      </c>
      <c r="D368" s="61" t="s">
        <v>683</v>
      </c>
      <c r="E368" s="61" t="s">
        <v>88</v>
      </c>
      <c r="F368" s="60"/>
    </row>
    <row r="369" customFormat="false" ht="12.75" hidden="false" customHeight="false" outlineLevel="0" collapsed="false">
      <c r="A369" s="58" t="s">
        <v>706</v>
      </c>
      <c r="B369" s="59" t="s">
        <v>707</v>
      </c>
      <c r="C369" s="60" t="s">
        <v>106</v>
      </c>
      <c r="D369" s="61" t="s">
        <v>683</v>
      </c>
      <c r="E369" s="61" t="s">
        <v>88</v>
      </c>
      <c r="F369" s="60"/>
    </row>
    <row r="370" customFormat="false" ht="12.75" hidden="false" customHeight="false" outlineLevel="0" collapsed="false">
      <c r="A370" s="58" t="s">
        <v>708</v>
      </c>
      <c r="B370" s="59" t="s">
        <v>709</v>
      </c>
      <c r="C370" s="60" t="s">
        <v>106</v>
      </c>
      <c r="D370" s="61" t="s">
        <v>683</v>
      </c>
      <c r="E370" s="61" t="s">
        <v>88</v>
      </c>
      <c r="F370" s="60"/>
    </row>
    <row r="371" customFormat="false" ht="12.75" hidden="false" customHeight="false" outlineLevel="0" collapsed="false">
      <c r="A371" s="58" t="s">
        <v>710</v>
      </c>
      <c r="B371" s="59" t="s">
        <v>711</v>
      </c>
      <c r="C371" s="60" t="s">
        <v>106</v>
      </c>
      <c r="D371" s="61" t="s">
        <v>683</v>
      </c>
      <c r="E371" s="61" t="s">
        <v>88</v>
      </c>
      <c r="F371" s="60"/>
    </row>
    <row r="372" customFormat="false" ht="12.75" hidden="false" customHeight="false" outlineLevel="0" collapsed="false">
      <c r="A372" s="58" t="s">
        <v>712</v>
      </c>
      <c r="B372" s="59" t="s">
        <v>713</v>
      </c>
      <c r="C372" s="60" t="s">
        <v>106</v>
      </c>
      <c r="D372" s="61" t="s">
        <v>683</v>
      </c>
      <c r="E372" s="61" t="s">
        <v>88</v>
      </c>
      <c r="F372" s="60"/>
    </row>
    <row r="373" customFormat="false" ht="12.75" hidden="false" customHeight="false" outlineLevel="0" collapsed="false">
      <c r="A373" s="58" t="s">
        <v>714</v>
      </c>
      <c r="B373" s="59" t="s">
        <v>715</v>
      </c>
      <c r="C373" s="60" t="s">
        <v>106</v>
      </c>
      <c r="D373" s="61" t="s">
        <v>683</v>
      </c>
      <c r="E373" s="61" t="s">
        <v>88</v>
      </c>
      <c r="F373" s="60"/>
    </row>
    <row r="374" customFormat="false" ht="12.75" hidden="false" customHeight="false" outlineLevel="0" collapsed="false">
      <c r="A374" s="58" t="s">
        <v>716</v>
      </c>
      <c r="B374" s="59" t="s">
        <v>717</v>
      </c>
      <c r="C374" s="60" t="s">
        <v>106</v>
      </c>
      <c r="D374" s="61" t="s">
        <v>683</v>
      </c>
      <c r="E374" s="61" t="s">
        <v>88</v>
      </c>
      <c r="F374" s="60"/>
    </row>
    <row r="375" customFormat="false" ht="12.75" hidden="false" customHeight="false" outlineLevel="0" collapsed="false">
      <c r="A375" s="58" t="s">
        <v>718</v>
      </c>
      <c r="B375" s="59" t="s">
        <v>719</v>
      </c>
      <c r="C375" s="60" t="s">
        <v>106</v>
      </c>
      <c r="D375" s="61" t="s">
        <v>683</v>
      </c>
      <c r="E375" s="61" t="s">
        <v>88</v>
      </c>
      <c r="F375" s="60"/>
    </row>
    <row r="376" customFormat="false" ht="12.75" hidden="false" customHeight="false" outlineLevel="0" collapsed="false">
      <c r="A376" s="58"/>
      <c r="B376" s="59"/>
      <c r="C376" s="60"/>
      <c r="D376" s="61"/>
      <c r="E376" s="61"/>
      <c r="F376" s="60"/>
    </row>
    <row r="377" customFormat="false" ht="25.5" hidden="false" customHeight="false" outlineLevel="0" collapsed="false">
      <c r="A377" s="58" t="s">
        <v>720</v>
      </c>
      <c r="B377" s="59" t="s">
        <v>721</v>
      </c>
      <c r="C377" s="60" t="s">
        <v>87</v>
      </c>
      <c r="D377" s="61" t="s">
        <v>81</v>
      </c>
      <c r="E377" s="61" t="s">
        <v>88</v>
      </c>
      <c r="F377" s="60"/>
    </row>
    <row r="378" customFormat="false" ht="25.5" hidden="false" customHeight="false" outlineLevel="0" collapsed="false">
      <c r="A378" s="58" t="s">
        <v>722</v>
      </c>
      <c r="B378" s="59" t="s">
        <v>723</v>
      </c>
      <c r="C378" s="60" t="s">
        <v>87</v>
      </c>
      <c r="D378" s="61" t="s">
        <v>81</v>
      </c>
      <c r="E378" s="61" t="s">
        <v>88</v>
      </c>
      <c r="F378" s="60"/>
    </row>
    <row r="379" customFormat="false" ht="25.5" hidden="false" customHeight="false" outlineLevel="0" collapsed="false">
      <c r="A379" s="58" t="s">
        <v>724</v>
      </c>
      <c r="B379" s="59" t="s">
        <v>725</v>
      </c>
      <c r="C379" s="60" t="s">
        <v>87</v>
      </c>
      <c r="D379" s="61" t="s">
        <v>81</v>
      </c>
      <c r="E379" s="61" t="s">
        <v>88</v>
      </c>
      <c r="F379" s="60"/>
    </row>
    <row r="380" customFormat="false" ht="25.5" hidden="false" customHeight="false" outlineLevel="0" collapsed="false">
      <c r="A380" s="58" t="s">
        <v>726</v>
      </c>
      <c r="B380" s="59" t="s">
        <v>727</v>
      </c>
      <c r="C380" s="60" t="s">
        <v>87</v>
      </c>
      <c r="D380" s="61" t="s">
        <v>81</v>
      </c>
      <c r="E380" s="61" t="s">
        <v>88</v>
      </c>
      <c r="F380" s="60"/>
    </row>
    <row r="381" customFormat="false" ht="25.5" hidden="false" customHeight="false" outlineLevel="0" collapsed="false">
      <c r="A381" s="58" t="s">
        <v>728</v>
      </c>
      <c r="B381" s="59" t="s">
        <v>729</v>
      </c>
      <c r="C381" s="60" t="s">
        <v>87</v>
      </c>
      <c r="D381" s="61" t="s">
        <v>81</v>
      </c>
      <c r="E381" s="61" t="s">
        <v>88</v>
      </c>
      <c r="F381" s="60"/>
    </row>
    <row r="382" customFormat="false" ht="25.5" hidden="false" customHeight="false" outlineLevel="0" collapsed="false">
      <c r="A382" s="58" t="s">
        <v>730</v>
      </c>
      <c r="B382" s="59" t="s">
        <v>731</v>
      </c>
      <c r="C382" s="60" t="s">
        <v>87</v>
      </c>
      <c r="D382" s="61" t="s">
        <v>81</v>
      </c>
      <c r="E382" s="61" t="s">
        <v>88</v>
      </c>
      <c r="F382" s="60"/>
    </row>
    <row r="383" customFormat="false" ht="12.75" hidden="false" customHeight="false" outlineLevel="0" collapsed="false">
      <c r="A383" s="58" t="s">
        <v>732</v>
      </c>
      <c r="B383" s="59" t="s">
        <v>733</v>
      </c>
      <c r="C383" s="60" t="s">
        <v>106</v>
      </c>
      <c r="D383" s="61" t="s">
        <v>290</v>
      </c>
      <c r="E383" s="61" t="s">
        <v>88</v>
      </c>
      <c r="F383" s="60"/>
    </row>
    <row r="384" customFormat="false" ht="12.75" hidden="false" customHeight="false" outlineLevel="0" collapsed="false">
      <c r="A384" s="58" t="s">
        <v>734</v>
      </c>
      <c r="B384" s="59" t="s">
        <v>735</v>
      </c>
      <c r="C384" s="60" t="s">
        <v>106</v>
      </c>
      <c r="D384" s="61" t="s">
        <v>290</v>
      </c>
      <c r="E384" s="61" t="s">
        <v>88</v>
      </c>
      <c r="F384" s="60"/>
    </row>
    <row r="385" customFormat="false" ht="12.75" hidden="false" customHeight="false" outlineLevel="0" collapsed="false">
      <c r="A385" s="58" t="s">
        <v>736</v>
      </c>
      <c r="B385" s="59" t="s">
        <v>737</v>
      </c>
      <c r="C385" s="60" t="s">
        <v>80</v>
      </c>
      <c r="D385" s="61" t="s">
        <v>81</v>
      </c>
      <c r="E385" s="61" t="s">
        <v>88</v>
      </c>
      <c r="F385" s="60"/>
    </row>
    <row r="386" customFormat="false" ht="12.75" hidden="false" customHeight="false" outlineLevel="0" collapsed="false">
      <c r="A386" s="58" t="s">
        <v>738</v>
      </c>
      <c r="B386" s="59" t="s">
        <v>739</v>
      </c>
      <c r="C386" s="60" t="s">
        <v>80</v>
      </c>
      <c r="D386" s="61" t="s">
        <v>81</v>
      </c>
      <c r="E386" s="61" t="s">
        <v>88</v>
      </c>
      <c r="F386" s="60"/>
    </row>
    <row r="387" customFormat="false" ht="12.75" hidden="false" customHeight="false" outlineLevel="0" collapsed="false">
      <c r="A387" s="58" t="s">
        <v>740</v>
      </c>
      <c r="B387" s="59" t="s">
        <v>741</v>
      </c>
      <c r="C387" s="60" t="s">
        <v>80</v>
      </c>
      <c r="D387" s="61" t="s">
        <v>81</v>
      </c>
      <c r="E387" s="61" t="s">
        <v>88</v>
      </c>
      <c r="F387" s="60"/>
    </row>
    <row r="388" customFormat="false" ht="12.75" hidden="false" customHeight="false" outlineLevel="0" collapsed="false">
      <c r="A388" s="58" t="s">
        <v>742</v>
      </c>
      <c r="B388" s="59" t="s">
        <v>743</v>
      </c>
      <c r="C388" s="60" t="s">
        <v>80</v>
      </c>
      <c r="D388" s="61" t="s">
        <v>81</v>
      </c>
      <c r="E388" s="61" t="s">
        <v>88</v>
      </c>
      <c r="F388" s="60"/>
    </row>
    <row r="389" customFormat="false" ht="12.75" hidden="false" customHeight="false" outlineLevel="0" collapsed="false">
      <c r="A389" s="58" t="s">
        <v>744</v>
      </c>
      <c r="B389" s="59" t="s">
        <v>745</v>
      </c>
      <c r="C389" s="60" t="s">
        <v>80</v>
      </c>
      <c r="D389" s="61" t="s">
        <v>81</v>
      </c>
      <c r="E389" s="61" t="s">
        <v>88</v>
      </c>
      <c r="F389" s="60"/>
    </row>
    <row r="390" customFormat="false" ht="12.75" hidden="false" customHeight="false" outlineLevel="0" collapsed="false">
      <c r="A390" s="58" t="s">
        <v>746</v>
      </c>
      <c r="B390" s="59" t="s">
        <v>747</v>
      </c>
      <c r="C390" s="60" t="s">
        <v>80</v>
      </c>
      <c r="D390" s="61" t="s">
        <v>81</v>
      </c>
      <c r="E390" s="61" t="s">
        <v>88</v>
      </c>
      <c r="F390" s="60"/>
    </row>
    <row r="391" customFormat="false" ht="12.75" hidden="false" customHeight="false" outlineLevel="0" collapsed="false">
      <c r="A391" s="58"/>
      <c r="B391" s="59"/>
      <c r="C391" s="60"/>
      <c r="D391" s="61"/>
      <c r="E391" s="61"/>
      <c r="F391" s="60"/>
    </row>
    <row r="392" customFormat="false" ht="25.5" hidden="false" customHeight="false" outlineLevel="0" collapsed="false">
      <c r="A392" s="58" t="s">
        <v>748</v>
      </c>
      <c r="B392" s="59" t="s">
        <v>749</v>
      </c>
      <c r="C392" s="60" t="s">
        <v>87</v>
      </c>
      <c r="D392" s="61" t="s">
        <v>750</v>
      </c>
      <c r="E392" s="61" t="s">
        <v>88</v>
      </c>
      <c r="F392" s="60"/>
    </row>
    <row r="393" customFormat="false" ht="12.75" hidden="false" customHeight="false" outlineLevel="0" collapsed="false">
      <c r="A393" s="58"/>
      <c r="B393" s="59"/>
      <c r="C393" s="60"/>
      <c r="D393" s="61"/>
      <c r="E393" s="61"/>
      <c r="F393" s="60"/>
    </row>
    <row r="394" customFormat="false" ht="25.5" hidden="false" customHeight="false" outlineLevel="0" collapsed="false">
      <c r="A394" s="58" t="s">
        <v>751</v>
      </c>
      <c r="B394" s="59" t="s">
        <v>752</v>
      </c>
      <c r="C394" s="60" t="s">
        <v>87</v>
      </c>
      <c r="D394" s="61" t="s">
        <v>750</v>
      </c>
      <c r="E394" s="61" t="s">
        <v>88</v>
      </c>
      <c r="F394" s="60"/>
    </row>
    <row r="395" customFormat="false" ht="12.75" hidden="false" customHeight="false" outlineLevel="0" collapsed="false">
      <c r="A395" s="58"/>
      <c r="B395" s="59"/>
      <c r="C395" s="60"/>
      <c r="D395" s="61"/>
      <c r="E395" s="61"/>
      <c r="F395" s="60"/>
    </row>
    <row r="396" customFormat="false" ht="12.75" hidden="false" customHeight="false" outlineLevel="0" collapsed="false">
      <c r="A396" s="58" t="s">
        <v>753</v>
      </c>
      <c r="B396" s="59" t="s">
        <v>754</v>
      </c>
      <c r="C396" s="60" t="s">
        <v>80</v>
      </c>
      <c r="D396" s="61" t="s">
        <v>755</v>
      </c>
      <c r="E396" s="61" t="s">
        <v>88</v>
      </c>
      <c r="F396" s="60"/>
    </row>
    <row r="397" customFormat="false" ht="12.75" hidden="false" customHeight="false" outlineLevel="0" collapsed="false">
      <c r="A397" s="58"/>
      <c r="B397" s="59"/>
      <c r="C397" s="60"/>
      <c r="D397" s="61"/>
      <c r="E397" s="61"/>
      <c r="F397" s="60"/>
    </row>
    <row r="398" customFormat="false" ht="12.75" hidden="false" customHeight="false" outlineLevel="0" collapsed="false">
      <c r="A398" s="58" t="s">
        <v>756</v>
      </c>
      <c r="B398" s="59" t="s">
        <v>757</v>
      </c>
      <c r="C398" s="60" t="s">
        <v>106</v>
      </c>
      <c r="D398" s="61" t="s">
        <v>290</v>
      </c>
      <c r="E398" s="61" t="s">
        <v>88</v>
      </c>
      <c r="F398" s="60" t="s">
        <v>758</v>
      </c>
    </row>
    <row r="399" customFormat="false" ht="12.75" hidden="false" customHeight="false" outlineLevel="0" collapsed="false">
      <c r="A399" s="58" t="s">
        <v>759</v>
      </c>
      <c r="B399" s="59" t="s">
        <v>760</v>
      </c>
      <c r="C399" s="60" t="s">
        <v>106</v>
      </c>
      <c r="D399" s="61" t="s">
        <v>761</v>
      </c>
      <c r="E399" s="61" t="s">
        <v>88</v>
      </c>
      <c r="F399" s="60"/>
    </row>
    <row r="400" customFormat="false" ht="12.75" hidden="false" customHeight="false" outlineLevel="0" collapsed="false">
      <c r="A400" s="58" t="s">
        <v>762</v>
      </c>
      <c r="B400" s="59" t="s">
        <v>763</v>
      </c>
      <c r="C400" s="60" t="s">
        <v>106</v>
      </c>
      <c r="D400" s="61" t="s">
        <v>290</v>
      </c>
      <c r="E400" s="61" t="s">
        <v>88</v>
      </c>
      <c r="F400" s="60" t="s">
        <v>764</v>
      </c>
    </row>
    <row r="401" customFormat="false" ht="12.75" hidden="false" customHeight="false" outlineLevel="0" collapsed="false">
      <c r="A401" s="58" t="s">
        <v>765</v>
      </c>
      <c r="B401" s="59" t="s">
        <v>766</v>
      </c>
      <c r="C401" s="60" t="s">
        <v>106</v>
      </c>
      <c r="D401" s="61" t="s">
        <v>761</v>
      </c>
      <c r="E401" s="61" t="s">
        <v>88</v>
      </c>
      <c r="F401" s="60"/>
    </row>
    <row r="402" customFormat="false" ht="12.75" hidden="false" customHeight="false" outlineLevel="0" collapsed="false">
      <c r="A402" s="58" t="s">
        <v>767</v>
      </c>
      <c r="B402" s="59" t="s">
        <v>768</v>
      </c>
      <c r="C402" s="60" t="s">
        <v>106</v>
      </c>
      <c r="D402" s="61" t="s">
        <v>290</v>
      </c>
      <c r="E402" s="61" t="s">
        <v>82</v>
      </c>
      <c r="F402" s="60" t="s">
        <v>769</v>
      </c>
    </row>
    <row r="403" customFormat="false" ht="12.75" hidden="false" customHeight="false" outlineLevel="0" collapsed="false">
      <c r="A403" s="58" t="s">
        <v>770</v>
      </c>
      <c r="B403" s="59" t="s">
        <v>771</v>
      </c>
      <c r="C403" s="60" t="s">
        <v>106</v>
      </c>
      <c r="D403" s="61" t="s">
        <v>290</v>
      </c>
      <c r="E403" s="61" t="s">
        <v>82</v>
      </c>
      <c r="F403" s="60" t="s">
        <v>772</v>
      </c>
    </row>
    <row r="404" customFormat="false" ht="12.75" hidden="false" customHeight="false" outlineLevel="0" collapsed="false">
      <c r="A404" s="58" t="s">
        <v>773</v>
      </c>
      <c r="B404" s="59" t="s">
        <v>774</v>
      </c>
      <c r="C404" s="60" t="s">
        <v>106</v>
      </c>
      <c r="D404" s="61" t="s">
        <v>290</v>
      </c>
      <c r="E404" s="61" t="s">
        <v>82</v>
      </c>
      <c r="F404" s="60" t="s">
        <v>775</v>
      </c>
    </row>
    <row r="405" customFormat="false" ht="12.75" hidden="false" customHeight="false" outlineLevel="0" collapsed="false">
      <c r="A405" s="58"/>
      <c r="B405" s="59"/>
      <c r="C405" s="60"/>
      <c r="D405" s="61"/>
      <c r="E405" s="61"/>
      <c r="F405" s="60"/>
    </row>
    <row r="406" customFormat="false" ht="12.75" hidden="false" customHeight="false" outlineLevel="0" collapsed="false">
      <c r="A406" s="58" t="s">
        <v>776</v>
      </c>
      <c r="B406" s="59" t="s">
        <v>777</v>
      </c>
      <c r="C406" s="60" t="s">
        <v>87</v>
      </c>
      <c r="D406" s="61" t="s">
        <v>750</v>
      </c>
      <c r="E406" s="61" t="s">
        <v>88</v>
      </c>
      <c r="F406" s="60"/>
    </row>
    <row r="407" customFormat="false" ht="12.75" hidden="false" customHeight="false" outlineLevel="0" collapsed="false">
      <c r="A407" s="58"/>
      <c r="B407" s="59"/>
      <c r="C407" s="60"/>
      <c r="D407" s="61"/>
      <c r="E407" s="61"/>
      <c r="F407" s="60"/>
    </row>
    <row r="408" customFormat="false" ht="12.75" hidden="false" customHeight="false" outlineLevel="0" collapsed="false">
      <c r="A408" s="58" t="s">
        <v>778</v>
      </c>
      <c r="B408" s="59" t="s">
        <v>779</v>
      </c>
      <c r="C408" s="60" t="s">
        <v>106</v>
      </c>
      <c r="D408" s="61" t="s">
        <v>290</v>
      </c>
      <c r="E408" s="61" t="s">
        <v>82</v>
      </c>
      <c r="F408" s="60" t="s">
        <v>780</v>
      </c>
    </row>
    <row r="409" customFormat="false" ht="12.75" hidden="false" customHeight="false" outlineLevel="0" collapsed="false">
      <c r="A409" s="58" t="s">
        <v>781</v>
      </c>
      <c r="B409" s="59" t="s">
        <v>782</v>
      </c>
      <c r="C409" s="60" t="s">
        <v>106</v>
      </c>
      <c r="D409" s="61" t="s">
        <v>761</v>
      </c>
      <c r="E409" s="61" t="s">
        <v>82</v>
      </c>
      <c r="F409" s="60"/>
    </row>
    <row r="410" customFormat="false" ht="12.75" hidden="false" customHeight="false" outlineLevel="0" collapsed="false">
      <c r="A410" s="58" t="s">
        <v>783</v>
      </c>
      <c r="B410" s="59" t="s">
        <v>784</v>
      </c>
      <c r="C410" s="60" t="s">
        <v>106</v>
      </c>
      <c r="D410" s="61" t="s">
        <v>290</v>
      </c>
      <c r="E410" s="61" t="s">
        <v>82</v>
      </c>
      <c r="F410" s="60" t="s">
        <v>785</v>
      </c>
    </row>
    <row r="411" customFormat="false" ht="12.75" hidden="false" customHeight="false" outlineLevel="0" collapsed="false">
      <c r="A411" s="58" t="s">
        <v>786</v>
      </c>
      <c r="B411" s="59" t="s">
        <v>787</v>
      </c>
      <c r="C411" s="60" t="s">
        <v>106</v>
      </c>
      <c r="D411" s="61" t="s">
        <v>761</v>
      </c>
      <c r="E411" s="61" t="s">
        <v>82</v>
      </c>
      <c r="F411" s="60"/>
    </row>
    <row r="412" customFormat="false" ht="12.75" hidden="false" customHeight="false" outlineLevel="0" collapsed="false">
      <c r="A412" s="58" t="s">
        <v>788</v>
      </c>
      <c r="B412" s="59" t="s">
        <v>789</v>
      </c>
      <c r="C412" s="60" t="s">
        <v>87</v>
      </c>
      <c r="D412" s="61" t="s">
        <v>81</v>
      </c>
      <c r="E412" s="61" t="s">
        <v>82</v>
      </c>
      <c r="F412" s="60"/>
    </row>
    <row r="413" customFormat="false" ht="12.75" hidden="false" customHeight="false" outlineLevel="0" collapsed="false">
      <c r="A413" s="58" t="s">
        <v>790</v>
      </c>
      <c r="B413" s="59" t="s">
        <v>791</v>
      </c>
      <c r="C413" s="60" t="s">
        <v>106</v>
      </c>
      <c r="D413" s="61" t="s">
        <v>761</v>
      </c>
      <c r="E413" s="61" t="s">
        <v>82</v>
      </c>
      <c r="F413" s="60"/>
    </row>
    <row r="414" customFormat="false" ht="12.75" hidden="false" customHeight="false" outlineLevel="0" collapsed="false">
      <c r="A414" s="58" t="s">
        <v>792</v>
      </c>
      <c r="B414" s="59" t="s">
        <v>793</v>
      </c>
      <c r="C414" s="60" t="s">
        <v>87</v>
      </c>
      <c r="D414" s="61" t="s">
        <v>81</v>
      </c>
      <c r="E414" s="61" t="s">
        <v>82</v>
      </c>
      <c r="F414" s="60"/>
    </row>
    <row r="415" customFormat="false" ht="12.75" hidden="false" customHeight="false" outlineLevel="0" collapsed="false">
      <c r="A415" s="58" t="s">
        <v>794</v>
      </c>
      <c r="B415" s="59" t="s">
        <v>795</v>
      </c>
      <c r="C415" s="60" t="s">
        <v>106</v>
      </c>
      <c r="D415" s="61" t="s">
        <v>761</v>
      </c>
      <c r="E415" s="61" t="s">
        <v>82</v>
      </c>
      <c r="F415" s="60"/>
    </row>
    <row r="416" customFormat="false" ht="12.75" hidden="false" customHeight="false" outlineLevel="0" collapsed="false">
      <c r="A416" s="58" t="s">
        <v>796</v>
      </c>
      <c r="B416" s="59" t="s">
        <v>797</v>
      </c>
      <c r="C416" s="60" t="s">
        <v>106</v>
      </c>
      <c r="D416" s="61" t="s">
        <v>290</v>
      </c>
      <c r="E416" s="61" t="s">
        <v>82</v>
      </c>
      <c r="F416" s="60" t="s">
        <v>780</v>
      </c>
    </row>
    <row r="417" customFormat="false" ht="12.75" hidden="false" customHeight="false" outlineLevel="0" collapsed="false">
      <c r="A417" s="58" t="s">
        <v>798</v>
      </c>
      <c r="B417" s="59" t="s">
        <v>799</v>
      </c>
      <c r="C417" s="60" t="s">
        <v>106</v>
      </c>
      <c r="D417" s="61" t="s">
        <v>761</v>
      </c>
      <c r="E417" s="61" t="s">
        <v>82</v>
      </c>
      <c r="F417" s="60"/>
    </row>
    <row r="418" customFormat="false" ht="12.75" hidden="false" customHeight="false" outlineLevel="0" collapsed="false">
      <c r="A418" s="58" t="s">
        <v>800</v>
      </c>
      <c r="B418" s="59" t="s">
        <v>801</v>
      </c>
      <c r="C418" s="60" t="s">
        <v>106</v>
      </c>
      <c r="D418" s="61" t="s">
        <v>290</v>
      </c>
      <c r="E418" s="61" t="s">
        <v>82</v>
      </c>
      <c r="F418" s="60" t="s">
        <v>785</v>
      </c>
    </row>
    <row r="419" customFormat="false" ht="12.75" hidden="false" customHeight="false" outlineLevel="0" collapsed="false">
      <c r="A419" s="58" t="s">
        <v>802</v>
      </c>
      <c r="B419" s="59" t="s">
        <v>803</v>
      </c>
      <c r="C419" s="60" t="s">
        <v>106</v>
      </c>
      <c r="D419" s="61" t="s">
        <v>761</v>
      </c>
      <c r="E419" s="61" t="s">
        <v>82</v>
      </c>
      <c r="F419" s="60"/>
    </row>
    <row r="420" customFormat="false" ht="12.75" hidden="false" customHeight="false" outlineLevel="0" collapsed="false">
      <c r="A420" s="58"/>
      <c r="B420" s="59"/>
      <c r="C420" s="60"/>
      <c r="D420" s="61"/>
      <c r="E420" s="61"/>
      <c r="F420" s="60"/>
    </row>
    <row r="421" customFormat="false" ht="12.75" hidden="false" customHeight="false" outlineLevel="0" collapsed="false">
      <c r="A421" s="58" t="s">
        <v>804</v>
      </c>
      <c r="B421" s="59" t="s">
        <v>805</v>
      </c>
      <c r="C421" s="60" t="s">
        <v>87</v>
      </c>
      <c r="D421" s="61" t="s">
        <v>153</v>
      </c>
      <c r="E421" s="61" t="s">
        <v>88</v>
      </c>
      <c r="F421" s="60"/>
    </row>
    <row r="422" customFormat="false" ht="12.75" hidden="false" customHeight="false" outlineLevel="0" collapsed="false">
      <c r="A422" s="58"/>
      <c r="B422" s="59"/>
      <c r="C422" s="60"/>
      <c r="D422" s="61"/>
      <c r="E422" s="61"/>
      <c r="F422" s="60"/>
    </row>
    <row r="423" customFormat="false" ht="25.5" hidden="false" customHeight="false" outlineLevel="0" collapsed="false">
      <c r="A423" s="58" t="s">
        <v>806</v>
      </c>
      <c r="B423" s="59" t="s">
        <v>807</v>
      </c>
      <c r="C423" s="60" t="s">
        <v>808</v>
      </c>
      <c r="D423" s="61" t="s">
        <v>750</v>
      </c>
      <c r="E423" s="61" t="s">
        <v>88</v>
      </c>
      <c r="F423" s="60" t="s">
        <v>809</v>
      </c>
    </row>
    <row r="424" customFormat="false" ht="25.5" hidden="false" customHeight="false" outlineLevel="0" collapsed="false">
      <c r="A424" s="58" t="s">
        <v>810</v>
      </c>
      <c r="B424" s="59" t="s">
        <v>811</v>
      </c>
      <c r="C424" s="60" t="s">
        <v>808</v>
      </c>
      <c r="D424" s="61" t="s">
        <v>812</v>
      </c>
      <c r="E424" s="61" t="s">
        <v>88</v>
      </c>
      <c r="F424" s="60" t="s">
        <v>809</v>
      </c>
    </row>
    <row r="425" customFormat="false" ht="25.5" hidden="false" customHeight="false" outlineLevel="0" collapsed="false">
      <c r="A425" s="58" t="s">
        <v>806</v>
      </c>
      <c r="B425" s="59" t="s">
        <v>811</v>
      </c>
      <c r="C425" s="60" t="s">
        <v>813</v>
      </c>
      <c r="D425" s="61" t="s">
        <v>814</v>
      </c>
      <c r="E425" s="61" t="s">
        <v>88</v>
      </c>
      <c r="F425" s="60"/>
    </row>
    <row r="426" customFormat="false" ht="25.5" hidden="false" customHeight="false" outlineLevel="0" collapsed="false">
      <c r="A426" s="58" t="s">
        <v>815</v>
      </c>
      <c r="B426" s="59" t="s">
        <v>816</v>
      </c>
      <c r="C426" s="60" t="s">
        <v>817</v>
      </c>
      <c r="D426" s="61" t="s">
        <v>818</v>
      </c>
      <c r="E426" s="61" t="s">
        <v>88</v>
      </c>
      <c r="F426" s="60"/>
    </row>
    <row r="427" customFormat="false" ht="12.75" hidden="false" customHeight="false" outlineLevel="0" collapsed="false">
      <c r="A427" s="58"/>
      <c r="B427" s="59"/>
      <c r="C427" s="60"/>
      <c r="D427" s="61"/>
      <c r="E427" s="61"/>
      <c r="F427" s="60"/>
    </row>
    <row r="428" customFormat="false" ht="25.5" hidden="false" customHeight="false" outlineLevel="0" collapsed="false">
      <c r="A428" s="58" t="s">
        <v>819</v>
      </c>
      <c r="B428" s="59" t="s">
        <v>820</v>
      </c>
      <c r="C428" s="60" t="s">
        <v>87</v>
      </c>
      <c r="D428" s="61" t="s">
        <v>153</v>
      </c>
      <c r="E428" s="61" t="s">
        <v>88</v>
      </c>
      <c r="F428" s="60"/>
    </row>
    <row r="429" customFormat="false" ht="12.75" hidden="false" customHeight="false" outlineLevel="0" collapsed="false">
      <c r="A429" s="58"/>
      <c r="B429" s="59"/>
      <c r="C429" s="60"/>
      <c r="D429" s="61"/>
      <c r="E429" s="61"/>
      <c r="F429" s="60"/>
    </row>
    <row r="430" customFormat="false" ht="12.75" hidden="false" customHeight="false" outlineLevel="0" collapsed="false">
      <c r="A430" s="58" t="s">
        <v>821</v>
      </c>
      <c r="B430" s="59" t="s">
        <v>822</v>
      </c>
      <c r="C430" s="60" t="s">
        <v>823</v>
      </c>
      <c r="D430" s="61" t="s">
        <v>81</v>
      </c>
      <c r="E430" s="61" t="s">
        <v>82</v>
      </c>
      <c r="F430" s="60"/>
    </row>
    <row r="431" customFormat="false" ht="12.75" hidden="false" customHeight="false" outlineLevel="0" collapsed="false">
      <c r="A431" s="58" t="s">
        <v>824</v>
      </c>
      <c r="B431" s="59" t="s">
        <v>825</v>
      </c>
      <c r="C431" s="60" t="s">
        <v>106</v>
      </c>
      <c r="D431" s="61" t="s">
        <v>761</v>
      </c>
      <c r="E431" s="61" t="s">
        <v>82</v>
      </c>
      <c r="F431" s="60"/>
    </row>
    <row r="432" customFormat="false" ht="12.75" hidden="false" customHeight="false" outlineLevel="0" collapsed="false">
      <c r="A432" s="58" t="s">
        <v>826</v>
      </c>
      <c r="B432" s="59" t="s">
        <v>827</v>
      </c>
      <c r="C432" s="60" t="s">
        <v>823</v>
      </c>
      <c r="D432" s="61" t="s">
        <v>81</v>
      </c>
      <c r="E432" s="61" t="s">
        <v>82</v>
      </c>
      <c r="F432" s="60"/>
    </row>
    <row r="433" customFormat="false" ht="12.75" hidden="false" customHeight="false" outlineLevel="0" collapsed="false">
      <c r="A433" s="58" t="s">
        <v>828</v>
      </c>
      <c r="B433" s="59" t="s">
        <v>829</v>
      </c>
      <c r="C433" s="60" t="s">
        <v>106</v>
      </c>
      <c r="D433" s="61" t="s">
        <v>761</v>
      </c>
      <c r="E433" s="61" t="s">
        <v>82</v>
      </c>
      <c r="F433" s="60"/>
    </row>
    <row r="434" customFormat="false" ht="12.75" hidden="false" customHeight="false" outlineLevel="0" collapsed="false">
      <c r="A434" s="58"/>
      <c r="B434" s="59"/>
      <c r="C434" s="60"/>
      <c r="D434" s="61"/>
      <c r="E434" s="61"/>
      <c r="F434" s="60"/>
    </row>
    <row r="435" customFormat="false" ht="12.75" hidden="false" customHeight="false" outlineLevel="0" collapsed="false">
      <c r="A435" s="58" t="s">
        <v>830</v>
      </c>
      <c r="B435" s="59" t="s">
        <v>831</v>
      </c>
      <c r="C435" s="60" t="s">
        <v>106</v>
      </c>
      <c r="D435" s="61" t="s">
        <v>290</v>
      </c>
      <c r="E435" s="61" t="s">
        <v>88</v>
      </c>
      <c r="F435" s="60" t="s">
        <v>832</v>
      </c>
    </row>
    <row r="436" customFormat="false" ht="12.75" hidden="false" customHeight="false" outlineLevel="0" collapsed="false">
      <c r="A436" s="58" t="s">
        <v>833</v>
      </c>
      <c r="B436" s="59" t="s">
        <v>834</v>
      </c>
      <c r="C436" s="60" t="s">
        <v>106</v>
      </c>
      <c r="D436" s="61" t="s">
        <v>761</v>
      </c>
      <c r="E436" s="61" t="s">
        <v>88</v>
      </c>
      <c r="F436" s="60"/>
    </row>
    <row r="437" customFormat="false" ht="12.75" hidden="false" customHeight="false" outlineLevel="0" collapsed="false">
      <c r="A437" s="58" t="s">
        <v>835</v>
      </c>
      <c r="B437" s="59" t="s">
        <v>836</v>
      </c>
      <c r="C437" s="60" t="s">
        <v>106</v>
      </c>
      <c r="D437" s="61" t="s">
        <v>290</v>
      </c>
      <c r="E437" s="61" t="s">
        <v>88</v>
      </c>
      <c r="F437" s="60" t="s">
        <v>837</v>
      </c>
    </row>
    <row r="438" customFormat="false" ht="12.75" hidden="false" customHeight="false" outlineLevel="0" collapsed="false">
      <c r="A438" s="58" t="s">
        <v>838</v>
      </c>
      <c r="B438" s="59" t="s">
        <v>839</v>
      </c>
      <c r="C438" s="60" t="s">
        <v>106</v>
      </c>
      <c r="D438" s="61" t="s">
        <v>761</v>
      </c>
      <c r="E438" s="61" t="s">
        <v>88</v>
      </c>
      <c r="F438" s="60"/>
    </row>
    <row r="439" customFormat="false" ht="12.75" hidden="false" customHeight="false" outlineLevel="0" collapsed="false">
      <c r="A439" s="58"/>
      <c r="B439" s="59"/>
      <c r="C439" s="60"/>
      <c r="D439" s="61"/>
      <c r="E439" s="61"/>
      <c r="F439" s="60"/>
    </row>
    <row r="440" customFormat="false" ht="12.75" hidden="false" customHeight="false" outlineLevel="0" collapsed="false">
      <c r="A440" s="58" t="s">
        <v>840</v>
      </c>
      <c r="B440" s="59" t="s">
        <v>841</v>
      </c>
      <c r="C440" s="60" t="s">
        <v>106</v>
      </c>
      <c r="D440" s="61" t="s">
        <v>842</v>
      </c>
      <c r="E440" s="61" t="s">
        <v>88</v>
      </c>
      <c r="F440" s="60"/>
    </row>
    <row r="441" customFormat="false" ht="12.75" hidden="false" customHeight="false" outlineLevel="0" collapsed="false">
      <c r="A441" s="58" t="s">
        <v>843</v>
      </c>
      <c r="B441" s="59" t="s">
        <v>844</v>
      </c>
      <c r="C441" s="60" t="s">
        <v>106</v>
      </c>
      <c r="D441" s="61" t="s">
        <v>842</v>
      </c>
      <c r="E441" s="61" t="s">
        <v>88</v>
      </c>
      <c r="F441" s="60"/>
    </row>
    <row r="442" customFormat="false" ht="12.75" hidden="false" customHeight="false" outlineLevel="0" collapsed="false">
      <c r="A442" s="58" t="s">
        <v>845</v>
      </c>
      <c r="B442" s="59" t="s">
        <v>846</v>
      </c>
      <c r="C442" s="60" t="s">
        <v>106</v>
      </c>
      <c r="D442" s="61" t="s">
        <v>842</v>
      </c>
      <c r="E442" s="61" t="s">
        <v>88</v>
      </c>
      <c r="F442" s="60"/>
    </row>
    <row r="443" customFormat="false" ht="12.75" hidden="false" customHeight="false" outlineLevel="0" collapsed="false">
      <c r="A443" s="58" t="s">
        <v>847</v>
      </c>
      <c r="B443" s="59" t="s">
        <v>848</v>
      </c>
      <c r="C443" s="60" t="s">
        <v>106</v>
      </c>
      <c r="D443" s="61" t="s">
        <v>842</v>
      </c>
      <c r="E443" s="61" t="s">
        <v>88</v>
      </c>
      <c r="F443" s="60"/>
    </row>
    <row r="444" customFormat="false" ht="12.75" hidden="false" customHeight="false" outlineLevel="0" collapsed="false">
      <c r="A444" s="58"/>
      <c r="B444" s="59"/>
      <c r="C444" s="60"/>
      <c r="D444" s="61"/>
      <c r="E444" s="61"/>
      <c r="F444" s="60"/>
    </row>
    <row r="445" customFormat="false" ht="12.75" hidden="false" customHeight="false" outlineLevel="0" collapsed="false">
      <c r="A445" s="58" t="s">
        <v>849</v>
      </c>
      <c r="B445" s="59" t="s">
        <v>850</v>
      </c>
      <c r="C445" s="60" t="s">
        <v>87</v>
      </c>
      <c r="D445" s="61" t="s">
        <v>81</v>
      </c>
      <c r="E445" s="61" t="s">
        <v>88</v>
      </c>
      <c r="F445" s="60"/>
    </row>
    <row r="446" customFormat="false" ht="12.75" hidden="false" customHeight="false" outlineLevel="0" collapsed="false">
      <c r="A446" s="58"/>
      <c r="B446" s="59"/>
      <c r="C446" s="60"/>
      <c r="D446" s="61"/>
      <c r="E446" s="61"/>
      <c r="F446" s="60"/>
    </row>
    <row r="447" customFormat="false" ht="12.75" hidden="false" customHeight="false" outlineLevel="0" collapsed="false">
      <c r="A447" s="58" t="s">
        <v>851</v>
      </c>
      <c r="B447" s="59" t="s">
        <v>852</v>
      </c>
      <c r="C447" s="60" t="s">
        <v>87</v>
      </c>
      <c r="D447" s="61" t="s">
        <v>853</v>
      </c>
      <c r="E447" s="61" t="s">
        <v>88</v>
      </c>
      <c r="F447" s="60"/>
    </row>
    <row r="448" customFormat="false" ht="12.75" hidden="false" customHeight="false" outlineLevel="0" collapsed="false">
      <c r="A448" s="58"/>
      <c r="B448" s="59"/>
      <c r="C448" s="60"/>
      <c r="D448" s="61"/>
      <c r="E448" s="61"/>
      <c r="F448" s="60"/>
    </row>
    <row r="449" customFormat="false" ht="12.75" hidden="false" customHeight="false" outlineLevel="0" collapsed="false">
      <c r="A449" s="58" t="s">
        <v>854</v>
      </c>
      <c r="B449" s="59" t="s">
        <v>855</v>
      </c>
      <c r="C449" s="60" t="s">
        <v>80</v>
      </c>
      <c r="D449" s="61" t="s">
        <v>853</v>
      </c>
      <c r="E449" s="61" t="s">
        <v>88</v>
      </c>
      <c r="F449" s="60"/>
    </row>
    <row r="450" customFormat="false" ht="12.75" hidden="false" customHeight="false" outlineLevel="0" collapsed="false">
      <c r="A450" s="58"/>
      <c r="B450" s="59"/>
      <c r="C450" s="60"/>
      <c r="D450" s="61"/>
      <c r="E450" s="61"/>
      <c r="F450" s="60"/>
    </row>
    <row r="451" customFormat="false" ht="12.75" hidden="false" customHeight="false" outlineLevel="0" collapsed="false">
      <c r="A451" s="58" t="s">
        <v>856</v>
      </c>
      <c r="B451" s="59" t="s">
        <v>857</v>
      </c>
      <c r="C451" s="60" t="s">
        <v>87</v>
      </c>
      <c r="D451" s="61" t="s">
        <v>81</v>
      </c>
      <c r="E451" s="61" t="s">
        <v>88</v>
      </c>
      <c r="F451" s="60"/>
    </row>
    <row r="452" customFormat="false" ht="12.75" hidden="false" customHeight="false" outlineLevel="0" collapsed="false">
      <c r="A452" s="58" t="s">
        <v>858</v>
      </c>
      <c r="B452" s="59" t="s">
        <v>859</v>
      </c>
      <c r="C452" s="60" t="s">
        <v>106</v>
      </c>
      <c r="D452" s="61" t="s">
        <v>761</v>
      </c>
      <c r="E452" s="61" t="s">
        <v>88</v>
      </c>
      <c r="F452" s="60"/>
    </row>
    <row r="453" customFormat="false" ht="12.75" hidden="false" customHeight="false" outlineLevel="0" collapsed="false">
      <c r="A453" s="58" t="s">
        <v>860</v>
      </c>
      <c r="B453" s="59" t="s">
        <v>861</v>
      </c>
      <c r="C453" s="60" t="s">
        <v>87</v>
      </c>
      <c r="D453" s="61" t="s">
        <v>81</v>
      </c>
      <c r="E453" s="61" t="s">
        <v>88</v>
      </c>
      <c r="F453" s="60"/>
    </row>
    <row r="454" customFormat="false" ht="12.75" hidden="false" customHeight="false" outlineLevel="0" collapsed="false">
      <c r="A454" s="58" t="s">
        <v>862</v>
      </c>
      <c r="B454" s="59" t="s">
        <v>863</v>
      </c>
      <c r="C454" s="60" t="s">
        <v>106</v>
      </c>
      <c r="D454" s="61" t="s">
        <v>761</v>
      </c>
      <c r="E454" s="61" t="s">
        <v>88</v>
      </c>
      <c r="F454" s="60"/>
    </row>
    <row r="455" customFormat="false" ht="12.75" hidden="false" customHeight="false" outlineLevel="0" collapsed="false">
      <c r="A455" s="58" t="s">
        <v>864</v>
      </c>
      <c r="B455" s="59" t="s">
        <v>865</v>
      </c>
      <c r="C455" s="60" t="s">
        <v>87</v>
      </c>
      <c r="D455" s="61" t="s">
        <v>81</v>
      </c>
      <c r="E455" s="61" t="s">
        <v>82</v>
      </c>
      <c r="F455" s="60"/>
    </row>
    <row r="456" customFormat="false" ht="12.75" hidden="false" customHeight="false" outlineLevel="0" collapsed="false">
      <c r="A456" s="58" t="s">
        <v>866</v>
      </c>
      <c r="B456" s="59" t="s">
        <v>867</v>
      </c>
      <c r="C456" s="60" t="s">
        <v>106</v>
      </c>
      <c r="D456" s="61" t="s">
        <v>107</v>
      </c>
      <c r="E456" s="61" t="s">
        <v>82</v>
      </c>
      <c r="F456" s="60"/>
    </row>
    <row r="457" customFormat="false" ht="12.75" hidden="false" customHeight="false" outlineLevel="0" collapsed="false">
      <c r="A457" s="58" t="s">
        <v>868</v>
      </c>
      <c r="B457" s="59" t="s">
        <v>869</v>
      </c>
      <c r="C457" s="60" t="s">
        <v>87</v>
      </c>
      <c r="D457" s="61" t="s">
        <v>81</v>
      </c>
      <c r="E457" s="61" t="s">
        <v>82</v>
      </c>
      <c r="F457" s="60"/>
    </row>
    <row r="458" customFormat="false" ht="12.75" hidden="false" customHeight="false" outlineLevel="0" collapsed="false">
      <c r="A458" s="58" t="s">
        <v>870</v>
      </c>
      <c r="B458" s="59" t="s">
        <v>871</v>
      </c>
      <c r="C458" s="60" t="s">
        <v>106</v>
      </c>
      <c r="D458" s="61" t="s">
        <v>872</v>
      </c>
      <c r="E458" s="61" t="s">
        <v>82</v>
      </c>
      <c r="F458" s="60"/>
    </row>
    <row r="459" customFormat="false" ht="12.75" hidden="false" customHeight="false" outlineLevel="0" collapsed="false">
      <c r="A459" s="58" t="s">
        <v>873</v>
      </c>
      <c r="B459" s="59" t="s">
        <v>874</v>
      </c>
      <c r="C459" s="60" t="s">
        <v>106</v>
      </c>
      <c r="D459" s="61" t="s">
        <v>875</v>
      </c>
      <c r="E459" s="61" t="s">
        <v>82</v>
      </c>
      <c r="F459" s="60"/>
    </row>
    <row r="460" customFormat="false" ht="12.75" hidden="false" customHeight="false" outlineLevel="0" collapsed="false">
      <c r="A460" s="58" t="s">
        <v>876</v>
      </c>
      <c r="B460" s="59" t="s">
        <v>877</v>
      </c>
      <c r="C460" s="60" t="s">
        <v>106</v>
      </c>
      <c r="D460" s="61" t="s">
        <v>872</v>
      </c>
      <c r="E460" s="61" t="s">
        <v>82</v>
      </c>
      <c r="F460" s="60"/>
    </row>
    <row r="461" customFormat="false" ht="12.75" hidden="false" customHeight="false" outlineLevel="0" collapsed="false">
      <c r="A461" s="58" t="s">
        <v>878</v>
      </c>
      <c r="B461" s="59" t="s">
        <v>879</v>
      </c>
      <c r="C461" s="60" t="s">
        <v>106</v>
      </c>
      <c r="D461" s="61" t="s">
        <v>107</v>
      </c>
      <c r="E461" s="61" t="s">
        <v>82</v>
      </c>
      <c r="F461" s="60"/>
    </row>
    <row r="462" customFormat="false" ht="12.75" hidden="false" customHeight="false" outlineLevel="0" collapsed="false">
      <c r="A462" s="58" t="s">
        <v>880</v>
      </c>
      <c r="B462" s="59" t="s">
        <v>881</v>
      </c>
      <c r="C462" s="60" t="s">
        <v>87</v>
      </c>
      <c r="D462" s="61" t="s">
        <v>81</v>
      </c>
      <c r="E462" s="61" t="s">
        <v>82</v>
      </c>
      <c r="F462" s="60"/>
    </row>
    <row r="463" customFormat="false" ht="12.75" hidden="false" customHeight="false" outlineLevel="0" collapsed="false">
      <c r="A463" s="58" t="s">
        <v>882</v>
      </c>
      <c r="B463" s="59" t="s">
        <v>883</v>
      </c>
      <c r="C463" s="60" t="s">
        <v>106</v>
      </c>
      <c r="D463" s="61" t="s">
        <v>107</v>
      </c>
      <c r="E463" s="61" t="s">
        <v>82</v>
      </c>
      <c r="F463" s="60"/>
    </row>
    <row r="464" customFormat="false" ht="12.75" hidden="false" customHeight="false" outlineLevel="0" collapsed="false">
      <c r="A464" s="58" t="s">
        <v>884</v>
      </c>
      <c r="B464" s="59" t="s">
        <v>885</v>
      </c>
      <c r="C464" s="60" t="s">
        <v>106</v>
      </c>
      <c r="D464" s="61" t="s">
        <v>872</v>
      </c>
      <c r="E464" s="61" t="s">
        <v>82</v>
      </c>
      <c r="F464" s="60"/>
    </row>
    <row r="465" customFormat="false" ht="12.75" hidden="false" customHeight="false" outlineLevel="0" collapsed="false">
      <c r="A465" s="58" t="s">
        <v>886</v>
      </c>
      <c r="B465" s="59" t="s">
        <v>887</v>
      </c>
      <c r="C465" s="60" t="s">
        <v>106</v>
      </c>
      <c r="D465" s="61" t="s">
        <v>875</v>
      </c>
      <c r="E465" s="61" t="s">
        <v>82</v>
      </c>
      <c r="F465" s="60"/>
    </row>
    <row r="466" customFormat="false" ht="12.75" hidden="false" customHeight="false" outlineLevel="0" collapsed="false">
      <c r="A466" s="58" t="s">
        <v>888</v>
      </c>
      <c r="B466" s="59" t="s">
        <v>889</v>
      </c>
      <c r="C466" s="60" t="s">
        <v>106</v>
      </c>
      <c r="D466" s="61" t="s">
        <v>872</v>
      </c>
      <c r="E466" s="61" t="s">
        <v>82</v>
      </c>
      <c r="F466" s="60"/>
    </row>
    <row r="467" customFormat="false" ht="12.75" hidden="false" customHeight="false" outlineLevel="0" collapsed="false">
      <c r="A467" s="58"/>
      <c r="B467" s="59"/>
      <c r="C467" s="60"/>
      <c r="D467" s="61"/>
      <c r="E467" s="61"/>
      <c r="F467" s="60"/>
    </row>
    <row r="468" customFormat="false" ht="12.75" hidden="false" customHeight="false" outlineLevel="0" collapsed="false">
      <c r="A468" s="58" t="s">
        <v>890</v>
      </c>
      <c r="B468" s="59" t="s">
        <v>891</v>
      </c>
      <c r="C468" s="60" t="s">
        <v>106</v>
      </c>
      <c r="D468" s="61" t="s">
        <v>81</v>
      </c>
      <c r="E468" s="61" t="s">
        <v>88</v>
      </c>
      <c r="F468" s="60"/>
    </row>
    <row r="469" customFormat="false" ht="12.75" hidden="false" customHeight="false" outlineLevel="0" collapsed="false">
      <c r="A469" s="58" t="s">
        <v>892</v>
      </c>
      <c r="B469" s="59" t="s">
        <v>893</v>
      </c>
      <c r="C469" s="60" t="s">
        <v>106</v>
      </c>
      <c r="D469" s="61" t="s">
        <v>81</v>
      </c>
      <c r="E469" s="61" t="s">
        <v>88</v>
      </c>
      <c r="F469" s="60"/>
    </row>
    <row r="470" customFormat="false" ht="25.5" hidden="false" customHeight="false" outlineLevel="0" collapsed="false">
      <c r="A470" s="58" t="s">
        <v>894</v>
      </c>
      <c r="B470" s="59" t="s">
        <v>895</v>
      </c>
      <c r="C470" s="60" t="s">
        <v>106</v>
      </c>
      <c r="D470" s="61" t="s">
        <v>81</v>
      </c>
      <c r="E470" s="61" t="s">
        <v>88</v>
      </c>
      <c r="F470" s="60"/>
    </row>
    <row r="471" customFormat="false" ht="12.75" hidden="false" customHeight="false" outlineLevel="0" collapsed="false">
      <c r="A471" s="58"/>
      <c r="B471" s="59"/>
      <c r="C471" s="60"/>
      <c r="D471" s="61"/>
      <c r="E471" s="61"/>
      <c r="F471" s="60"/>
    </row>
    <row r="472" customFormat="false" ht="12.75" hidden="false" customHeight="false" outlineLevel="0" collapsed="false">
      <c r="A472" s="58" t="s">
        <v>896</v>
      </c>
      <c r="B472" s="59" t="s">
        <v>897</v>
      </c>
      <c r="C472" s="60" t="s">
        <v>87</v>
      </c>
      <c r="D472" s="61" t="s">
        <v>81</v>
      </c>
      <c r="E472" s="61" t="s">
        <v>88</v>
      </c>
      <c r="F472" s="60"/>
    </row>
    <row r="473" customFormat="false" ht="12.75" hidden="false" customHeight="false" outlineLevel="0" collapsed="false">
      <c r="A473" s="58" t="s">
        <v>898</v>
      </c>
      <c r="B473" s="59" t="s">
        <v>899</v>
      </c>
      <c r="C473" s="60" t="s">
        <v>106</v>
      </c>
      <c r="D473" s="61" t="s">
        <v>761</v>
      </c>
      <c r="E473" s="61" t="s">
        <v>88</v>
      </c>
      <c r="F473" s="60"/>
    </row>
    <row r="474" customFormat="false" ht="12.75" hidden="false" customHeight="false" outlineLevel="0" collapsed="false">
      <c r="A474" s="58"/>
      <c r="B474" s="59"/>
      <c r="C474" s="60"/>
      <c r="D474" s="61"/>
      <c r="E474" s="61"/>
      <c r="F474" s="60"/>
    </row>
    <row r="475" customFormat="false" ht="12.75" hidden="false" customHeight="false" outlineLevel="0" collapsed="false">
      <c r="A475" s="58" t="s">
        <v>900</v>
      </c>
      <c r="B475" s="59" t="s">
        <v>901</v>
      </c>
      <c r="C475" s="60" t="s">
        <v>87</v>
      </c>
      <c r="D475" s="61" t="s">
        <v>81</v>
      </c>
      <c r="E475" s="61" t="s">
        <v>88</v>
      </c>
      <c r="F475" s="60"/>
    </row>
    <row r="476" customFormat="false" ht="12.75" hidden="false" customHeight="false" outlineLevel="0" collapsed="false">
      <c r="A476" s="58" t="s">
        <v>902</v>
      </c>
      <c r="B476" s="59" t="s">
        <v>903</v>
      </c>
      <c r="C476" s="60" t="s">
        <v>106</v>
      </c>
      <c r="D476" s="61" t="s">
        <v>761</v>
      </c>
      <c r="E476" s="61" t="s">
        <v>88</v>
      </c>
      <c r="F476" s="60"/>
    </row>
    <row r="477" customFormat="false" ht="12.75" hidden="false" customHeight="false" outlineLevel="0" collapsed="false">
      <c r="A477" s="58"/>
      <c r="B477" s="59"/>
      <c r="C477" s="60"/>
      <c r="D477" s="61"/>
      <c r="E477" s="61"/>
      <c r="F477" s="60"/>
    </row>
    <row r="478" customFormat="false" ht="12.75" hidden="false" customHeight="false" outlineLevel="0" collapsed="false">
      <c r="A478" s="58" t="s">
        <v>904</v>
      </c>
      <c r="B478" s="59" t="s">
        <v>905</v>
      </c>
      <c r="C478" s="60" t="s">
        <v>87</v>
      </c>
      <c r="D478" s="61" t="s">
        <v>81</v>
      </c>
      <c r="E478" s="61" t="s">
        <v>88</v>
      </c>
      <c r="F478" s="60"/>
    </row>
    <row r="479" customFormat="false" ht="12.75" hidden="false" customHeight="false" outlineLevel="0" collapsed="false">
      <c r="A479" s="58" t="s">
        <v>906</v>
      </c>
      <c r="B479" s="59" t="s">
        <v>907</v>
      </c>
      <c r="C479" s="60" t="s">
        <v>908</v>
      </c>
      <c r="D479" s="61" t="s">
        <v>81</v>
      </c>
      <c r="E479" s="61" t="s">
        <v>106</v>
      </c>
      <c r="F479" s="60"/>
    </row>
    <row r="480" customFormat="false" ht="12.75" hidden="false" customHeight="false" outlineLevel="0" collapsed="false">
      <c r="A480" s="58" t="s">
        <v>909</v>
      </c>
      <c r="B480" s="59" t="s">
        <v>910</v>
      </c>
      <c r="C480" s="60" t="s">
        <v>908</v>
      </c>
      <c r="D480" s="61" t="s">
        <v>81</v>
      </c>
      <c r="E480" s="61" t="s">
        <v>106</v>
      </c>
      <c r="F480" s="60"/>
    </row>
    <row r="481" customFormat="false" ht="12.75" hidden="false" customHeight="false" outlineLevel="0" collapsed="false">
      <c r="A481" s="58"/>
      <c r="B481" s="59"/>
      <c r="C481" s="60"/>
      <c r="D481" s="61"/>
      <c r="E481" s="61"/>
      <c r="F481" s="60"/>
    </row>
    <row r="482" customFormat="false" ht="12.75" hidden="false" customHeight="false" outlineLevel="0" collapsed="false">
      <c r="A482" s="58" t="s">
        <v>911</v>
      </c>
      <c r="B482" s="59" t="s">
        <v>912</v>
      </c>
      <c r="C482" s="60" t="s">
        <v>913</v>
      </c>
      <c r="D482" s="61" t="s">
        <v>81</v>
      </c>
      <c r="E482" s="61" t="s">
        <v>88</v>
      </c>
      <c r="F482" s="60"/>
    </row>
    <row r="483" customFormat="false" ht="12.75" hidden="false" customHeight="false" outlineLevel="0" collapsed="false">
      <c r="A483" s="58" t="s">
        <v>914</v>
      </c>
      <c r="B483" s="59" t="s">
        <v>915</v>
      </c>
      <c r="C483" s="60" t="s">
        <v>87</v>
      </c>
      <c r="D483" s="61" t="s">
        <v>328</v>
      </c>
      <c r="E483" s="61" t="s">
        <v>88</v>
      </c>
      <c r="F483" s="60"/>
    </row>
    <row r="484" customFormat="false" ht="12.75" hidden="false" customHeight="false" outlineLevel="0" collapsed="false">
      <c r="A484" s="58" t="s">
        <v>916</v>
      </c>
      <c r="B484" s="59" t="s">
        <v>917</v>
      </c>
      <c r="C484" s="60" t="s">
        <v>87</v>
      </c>
      <c r="D484" s="61" t="s">
        <v>328</v>
      </c>
      <c r="E484" s="61" t="s">
        <v>88</v>
      </c>
      <c r="F484" s="60"/>
    </row>
    <row r="485" customFormat="false" ht="12.75" hidden="false" customHeight="false" outlineLevel="0" collapsed="false">
      <c r="A485" s="58"/>
      <c r="B485" s="59"/>
      <c r="C485" s="60"/>
      <c r="D485" s="61"/>
      <c r="E485" s="61"/>
      <c r="F485" s="60"/>
    </row>
    <row r="486" customFormat="false" ht="12.75" hidden="false" customHeight="false" outlineLevel="0" collapsed="false">
      <c r="A486" s="58" t="s">
        <v>918</v>
      </c>
      <c r="B486" s="59" t="s">
        <v>919</v>
      </c>
      <c r="C486" s="60" t="s">
        <v>920</v>
      </c>
      <c r="D486" s="61" t="s">
        <v>921</v>
      </c>
      <c r="E486" s="61" t="s">
        <v>88</v>
      </c>
      <c r="F486" s="60"/>
    </row>
    <row r="487" customFormat="false" ht="12.75" hidden="false" customHeight="false" outlineLevel="0" collapsed="false">
      <c r="A487" s="58" t="s">
        <v>922</v>
      </c>
      <c r="B487" s="59" t="s">
        <v>923</v>
      </c>
      <c r="C487" s="60" t="s">
        <v>87</v>
      </c>
      <c r="D487" s="61" t="s">
        <v>924</v>
      </c>
      <c r="E487" s="61" t="s">
        <v>88</v>
      </c>
      <c r="F487" s="60"/>
    </row>
    <row r="488" customFormat="false" ht="12.75" hidden="false" customHeight="false" outlineLevel="0" collapsed="false">
      <c r="A488" s="58"/>
      <c r="B488" s="59"/>
      <c r="C488" s="60"/>
      <c r="D488" s="61"/>
      <c r="E488" s="61"/>
      <c r="F488" s="60"/>
    </row>
    <row r="489" customFormat="false" ht="12.75" hidden="false" customHeight="false" outlineLevel="0" collapsed="false">
      <c r="A489" s="58" t="s">
        <v>925</v>
      </c>
      <c r="B489" s="59" t="s">
        <v>926</v>
      </c>
      <c r="C489" s="60" t="s">
        <v>87</v>
      </c>
      <c r="D489" s="61" t="s">
        <v>81</v>
      </c>
      <c r="E489" s="61" t="s">
        <v>82</v>
      </c>
      <c r="F489" s="60"/>
    </row>
    <row r="490" customFormat="false" ht="12.75" hidden="false" customHeight="false" outlineLevel="0" collapsed="false">
      <c r="A490" s="58"/>
      <c r="B490" s="59"/>
      <c r="C490" s="60"/>
      <c r="D490" s="61"/>
      <c r="E490" s="61"/>
      <c r="F490" s="60"/>
    </row>
    <row r="491" customFormat="false" ht="12.75" hidden="false" customHeight="false" outlineLevel="0" collapsed="false">
      <c r="A491" s="58" t="s">
        <v>927</v>
      </c>
      <c r="B491" s="59" t="s">
        <v>928</v>
      </c>
      <c r="C491" s="60" t="s">
        <v>106</v>
      </c>
      <c r="D491" s="61" t="s">
        <v>290</v>
      </c>
      <c r="E491" s="61" t="s">
        <v>82</v>
      </c>
      <c r="F491" s="60" t="s">
        <v>929</v>
      </c>
    </row>
    <row r="492" customFormat="false" ht="12.75" hidden="false" customHeight="false" outlineLevel="0" collapsed="false">
      <c r="A492" s="58" t="s">
        <v>930</v>
      </c>
      <c r="B492" s="59" t="s">
        <v>931</v>
      </c>
      <c r="C492" s="60" t="s">
        <v>106</v>
      </c>
      <c r="D492" s="61" t="s">
        <v>290</v>
      </c>
      <c r="E492" s="61" t="s">
        <v>82</v>
      </c>
      <c r="F492" s="60" t="s">
        <v>932</v>
      </c>
    </row>
    <row r="493" customFormat="false" ht="12.75" hidden="false" customHeight="false" outlineLevel="0" collapsed="false">
      <c r="A493" s="58" t="s">
        <v>933</v>
      </c>
      <c r="B493" s="59" t="s">
        <v>934</v>
      </c>
      <c r="C493" s="60" t="s">
        <v>106</v>
      </c>
      <c r="D493" s="61" t="s">
        <v>290</v>
      </c>
      <c r="E493" s="61" t="s">
        <v>82</v>
      </c>
      <c r="F493" s="60" t="s">
        <v>935</v>
      </c>
    </row>
    <row r="494" customFormat="false" ht="12.75" hidden="false" customHeight="false" outlineLevel="0" collapsed="false">
      <c r="A494" s="58"/>
      <c r="B494" s="59"/>
      <c r="C494" s="60"/>
      <c r="D494" s="61"/>
      <c r="E494" s="61"/>
      <c r="F494" s="60"/>
    </row>
    <row r="495" customFormat="false" ht="12.75" hidden="false" customHeight="false" outlineLevel="0" collapsed="false">
      <c r="A495" s="58" t="s">
        <v>936</v>
      </c>
      <c r="B495" s="59" t="s">
        <v>937</v>
      </c>
      <c r="C495" s="60" t="s">
        <v>87</v>
      </c>
      <c r="D495" s="61" t="s">
        <v>81</v>
      </c>
      <c r="E495" s="61" t="s">
        <v>82</v>
      </c>
      <c r="F495" s="60"/>
    </row>
    <row r="496" customFormat="false" ht="25.5" hidden="false" customHeight="false" outlineLevel="0" collapsed="false">
      <c r="A496" s="58" t="s">
        <v>938</v>
      </c>
      <c r="B496" s="59" t="s">
        <v>939</v>
      </c>
      <c r="C496" s="60" t="s">
        <v>106</v>
      </c>
      <c r="D496" s="61" t="s">
        <v>107</v>
      </c>
      <c r="E496" s="61" t="s">
        <v>82</v>
      </c>
      <c r="F496" s="60"/>
    </row>
    <row r="497" customFormat="false" ht="12.75" hidden="false" customHeight="false" outlineLevel="0" collapsed="false">
      <c r="A497" s="58"/>
      <c r="B497" s="59"/>
      <c r="C497" s="60"/>
      <c r="D497" s="61"/>
      <c r="E497" s="61"/>
      <c r="F497" s="60"/>
    </row>
    <row r="498" customFormat="false" ht="12.75" hidden="false" customHeight="false" outlineLevel="0" collapsed="false">
      <c r="A498" s="58" t="s">
        <v>940</v>
      </c>
      <c r="B498" s="59" t="s">
        <v>941</v>
      </c>
      <c r="C498" s="60" t="s">
        <v>87</v>
      </c>
      <c r="D498" s="61" t="s">
        <v>81</v>
      </c>
      <c r="E498" s="61" t="s">
        <v>82</v>
      </c>
      <c r="F498" s="60"/>
    </row>
    <row r="499" customFormat="false" ht="25.5" hidden="false" customHeight="false" outlineLevel="0" collapsed="false">
      <c r="A499" s="58" t="s">
        <v>942</v>
      </c>
      <c r="B499" s="59" t="s">
        <v>943</v>
      </c>
      <c r="C499" s="60" t="s">
        <v>106</v>
      </c>
      <c r="D499" s="61" t="s">
        <v>107</v>
      </c>
      <c r="E499" s="61" t="s">
        <v>82</v>
      </c>
      <c r="F499" s="60"/>
    </row>
    <row r="500" customFormat="false" ht="25.5" hidden="false" customHeight="false" outlineLevel="0" collapsed="false">
      <c r="A500" s="58" t="s">
        <v>944</v>
      </c>
      <c r="B500" s="59" t="s">
        <v>945</v>
      </c>
      <c r="C500" s="60" t="s">
        <v>106</v>
      </c>
      <c r="D500" s="61" t="s">
        <v>872</v>
      </c>
      <c r="E500" s="61" t="s">
        <v>82</v>
      </c>
      <c r="F500" s="60"/>
    </row>
    <row r="501" customFormat="false" ht="25.5" hidden="false" customHeight="false" outlineLevel="0" collapsed="false">
      <c r="A501" s="58" t="s">
        <v>946</v>
      </c>
      <c r="B501" s="59" t="s">
        <v>947</v>
      </c>
      <c r="C501" s="60" t="s">
        <v>106</v>
      </c>
      <c r="D501" s="61" t="s">
        <v>875</v>
      </c>
      <c r="E501" s="61" t="s">
        <v>82</v>
      </c>
      <c r="F501" s="60"/>
    </row>
    <row r="502" customFormat="false" ht="25.5" hidden="false" customHeight="false" outlineLevel="0" collapsed="false">
      <c r="A502" s="58" t="s">
        <v>948</v>
      </c>
      <c r="B502" s="59" t="s">
        <v>949</v>
      </c>
      <c r="C502" s="60" t="s">
        <v>106</v>
      </c>
      <c r="D502" s="61" t="s">
        <v>872</v>
      </c>
      <c r="E502" s="61" t="s">
        <v>82</v>
      </c>
      <c r="F502" s="60"/>
    </row>
    <row r="503" customFormat="false" ht="12.75" hidden="false" customHeight="false" outlineLevel="0" collapsed="false">
      <c r="A503" s="58"/>
      <c r="B503" s="59"/>
      <c r="C503" s="60"/>
      <c r="D503" s="61"/>
      <c r="E503" s="61"/>
      <c r="F503" s="60"/>
    </row>
    <row r="504" customFormat="false" ht="12.75" hidden="false" customHeight="false" outlineLevel="0" collapsed="false">
      <c r="A504" s="58" t="s">
        <v>950</v>
      </c>
      <c r="B504" s="59" t="s">
        <v>951</v>
      </c>
      <c r="C504" s="60" t="s">
        <v>87</v>
      </c>
      <c r="D504" s="61" t="s">
        <v>81</v>
      </c>
      <c r="E504" s="61" t="s">
        <v>82</v>
      </c>
      <c r="F504" s="60"/>
    </row>
    <row r="505" customFormat="false" ht="25.5" hidden="false" customHeight="false" outlineLevel="0" collapsed="false">
      <c r="A505" s="58" t="s">
        <v>952</v>
      </c>
      <c r="B505" s="59" t="s">
        <v>953</v>
      </c>
      <c r="C505" s="60" t="s">
        <v>106</v>
      </c>
      <c r="D505" s="61" t="s">
        <v>107</v>
      </c>
      <c r="E505" s="61" t="s">
        <v>82</v>
      </c>
      <c r="F505" s="60"/>
    </row>
    <row r="506" customFormat="false" ht="25.5" hidden="false" customHeight="false" outlineLevel="0" collapsed="false">
      <c r="A506" s="58" t="s">
        <v>954</v>
      </c>
      <c r="B506" s="59" t="s">
        <v>955</v>
      </c>
      <c r="C506" s="60" t="s">
        <v>106</v>
      </c>
      <c r="D506" s="61" t="s">
        <v>872</v>
      </c>
      <c r="E506" s="61" t="s">
        <v>82</v>
      </c>
      <c r="F506" s="60"/>
    </row>
    <row r="507" customFormat="false" ht="25.5" hidden="false" customHeight="false" outlineLevel="0" collapsed="false">
      <c r="A507" s="58" t="s">
        <v>956</v>
      </c>
      <c r="B507" s="59" t="s">
        <v>957</v>
      </c>
      <c r="C507" s="60" t="s">
        <v>106</v>
      </c>
      <c r="D507" s="61" t="s">
        <v>875</v>
      </c>
      <c r="E507" s="61" t="s">
        <v>82</v>
      </c>
      <c r="F507" s="60"/>
    </row>
    <row r="508" customFormat="false" ht="25.5" hidden="false" customHeight="false" outlineLevel="0" collapsed="false">
      <c r="A508" s="58" t="s">
        <v>958</v>
      </c>
      <c r="B508" s="59" t="s">
        <v>959</v>
      </c>
      <c r="C508" s="60" t="s">
        <v>106</v>
      </c>
      <c r="D508" s="61" t="s">
        <v>872</v>
      </c>
      <c r="E508" s="61" t="s">
        <v>82</v>
      </c>
      <c r="F508" s="60"/>
    </row>
    <row r="509" customFormat="false" ht="12.75" hidden="false" customHeight="false" outlineLevel="0" collapsed="false">
      <c r="A509" s="58"/>
      <c r="B509" s="59"/>
      <c r="C509" s="60"/>
      <c r="D509" s="61"/>
      <c r="E509" s="61"/>
      <c r="F509" s="60"/>
    </row>
    <row r="510" customFormat="false" ht="12.75" hidden="false" customHeight="false" outlineLevel="0" collapsed="false">
      <c r="A510" s="58" t="s">
        <v>960</v>
      </c>
      <c r="B510" s="59" t="s">
        <v>961</v>
      </c>
      <c r="C510" s="60" t="s">
        <v>87</v>
      </c>
      <c r="D510" s="61" t="s">
        <v>231</v>
      </c>
      <c r="E510" s="61" t="s">
        <v>88</v>
      </c>
      <c r="F510" s="60"/>
    </row>
    <row r="511" customFormat="false" ht="12.75" hidden="false" customHeight="false" outlineLevel="0" collapsed="false">
      <c r="A511" s="58"/>
      <c r="B511" s="59"/>
      <c r="C511" s="60"/>
      <c r="D511" s="61"/>
      <c r="E511" s="61"/>
      <c r="F511" s="60"/>
    </row>
    <row r="512" customFormat="false" ht="12.75" hidden="false" customHeight="false" outlineLevel="0" collapsed="false">
      <c r="A512" s="58" t="s">
        <v>962</v>
      </c>
      <c r="B512" s="59" t="s">
        <v>963</v>
      </c>
      <c r="C512" s="60" t="s">
        <v>87</v>
      </c>
      <c r="D512" s="61" t="s">
        <v>81</v>
      </c>
      <c r="E512" s="61" t="s">
        <v>964</v>
      </c>
      <c r="F512" s="60"/>
    </row>
    <row r="513" customFormat="false" ht="12.75" hidden="false" customHeight="false" outlineLevel="0" collapsed="false">
      <c r="A513" s="58"/>
      <c r="B513" s="59"/>
      <c r="C513" s="60"/>
      <c r="D513" s="61"/>
      <c r="E513" s="61"/>
      <c r="F513" s="60"/>
    </row>
    <row r="514" customFormat="false" ht="12.75" hidden="false" customHeight="false" outlineLevel="0" collapsed="false">
      <c r="A514" s="58" t="s">
        <v>965</v>
      </c>
      <c r="B514" s="59" t="s">
        <v>966</v>
      </c>
      <c r="C514" s="60" t="s">
        <v>87</v>
      </c>
      <c r="D514" s="61" t="s">
        <v>478</v>
      </c>
      <c r="E514" s="61" t="s">
        <v>82</v>
      </c>
      <c r="F514" s="60"/>
    </row>
    <row r="515" customFormat="false" ht="12.75" hidden="false" customHeight="false" outlineLevel="0" collapsed="false">
      <c r="A515" s="58"/>
      <c r="B515" s="59"/>
      <c r="C515" s="60"/>
      <c r="D515" s="61"/>
      <c r="E515" s="61"/>
      <c r="F515" s="60"/>
    </row>
    <row r="516" customFormat="false" ht="12.75" hidden="false" customHeight="false" outlineLevel="0" collapsed="false">
      <c r="A516" s="58" t="s">
        <v>967</v>
      </c>
      <c r="B516" s="59" t="s">
        <v>968</v>
      </c>
      <c r="C516" s="60" t="s">
        <v>80</v>
      </c>
      <c r="D516" s="61" t="s">
        <v>81</v>
      </c>
      <c r="E516" s="61" t="s">
        <v>88</v>
      </c>
      <c r="F516" s="60"/>
    </row>
    <row r="517" customFormat="false" ht="12.75" hidden="false" customHeight="false" outlineLevel="0" collapsed="false">
      <c r="A517" s="58" t="s">
        <v>969</v>
      </c>
      <c r="B517" s="59" t="s">
        <v>970</v>
      </c>
      <c r="C517" s="60" t="s">
        <v>87</v>
      </c>
      <c r="D517" s="61" t="s">
        <v>81</v>
      </c>
      <c r="E517" s="61" t="s">
        <v>88</v>
      </c>
      <c r="F517" s="60"/>
    </row>
    <row r="518" customFormat="false" ht="12.75" hidden="false" customHeight="false" outlineLevel="0" collapsed="false">
      <c r="A518" s="58" t="s">
        <v>971</v>
      </c>
      <c r="B518" s="59" t="s">
        <v>972</v>
      </c>
      <c r="C518" s="60" t="s">
        <v>87</v>
      </c>
      <c r="D518" s="61" t="s">
        <v>81</v>
      </c>
      <c r="E518" s="61" t="s">
        <v>88</v>
      </c>
      <c r="F518" s="60"/>
    </row>
    <row r="519" customFormat="false" ht="12.75" hidden="false" customHeight="false" outlineLevel="0" collapsed="false">
      <c r="A519" s="58"/>
      <c r="B519" s="59"/>
      <c r="C519" s="60"/>
      <c r="D519" s="61"/>
      <c r="E519" s="61"/>
      <c r="F519" s="60"/>
    </row>
    <row r="520" customFormat="false" ht="12.75" hidden="false" customHeight="false" outlineLevel="0" collapsed="false">
      <c r="A520" s="58" t="s">
        <v>973</v>
      </c>
      <c r="B520" s="59" t="s">
        <v>974</v>
      </c>
      <c r="C520" s="60" t="s">
        <v>87</v>
      </c>
      <c r="D520" s="61" t="s">
        <v>81</v>
      </c>
      <c r="E520" s="61" t="s">
        <v>82</v>
      </c>
      <c r="F520" s="60"/>
    </row>
    <row r="521" customFormat="false" ht="12.75" hidden="false" customHeight="false" outlineLevel="0" collapsed="false">
      <c r="A521" s="58" t="s">
        <v>975</v>
      </c>
      <c r="B521" s="59" t="s">
        <v>976</v>
      </c>
      <c r="C521" s="60" t="s">
        <v>87</v>
      </c>
      <c r="D521" s="61" t="s">
        <v>81</v>
      </c>
      <c r="E521" s="61" t="s">
        <v>82</v>
      </c>
      <c r="F521" s="60"/>
    </row>
    <row r="522" customFormat="false" ht="12.75" hidden="false" customHeight="false" outlineLevel="0" collapsed="false">
      <c r="A522" s="58"/>
      <c r="B522" s="59"/>
      <c r="C522" s="60"/>
      <c r="D522" s="61"/>
      <c r="E522" s="61"/>
      <c r="F522" s="60"/>
    </row>
    <row r="523" customFormat="false" ht="12.75" hidden="false" customHeight="false" outlineLevel="0" collapsed="false">
      <c r="A523" s="58" t="s">
        <v>977</v>
      </c>
      <c r="B523" s="59" t="s">
        <v>978</v>
      </c>
      <c r="C523" s="60" t="s">
        <v>106</v>
      </c>
      <c r="D523" s="61" t="s">
        <v>216</v>
      </c>
      <c r="E523" s="61" t="s">
        <v>82</v>
      </c>
      <c r="F523" s="60" t="s">
        <v>979</v>
      </c>
    </row>
    <row r="524" customFormat="false" ht="12.75" hidden="false" customHeight="false" outlineLevel="0" collapsed="false">
      <c r="A524" s="58" t="s">
        <v>980</v>
      </c>
      <c r="B524" s="59" t="s">
        <v>981</v>
      </c>
      <c r="C524" s="60" t="s">
        <v>106</v>
      </c>
      <c r="D524" s="61" t="s">
        <v>216</v>
      </c>
      <c r="E524" s="61" t="s">
        <v>82</v>
      </c>
      <c r="F524" s="60" t="s">
        <v>982</v>
      </c>
    </row>
    <row r="525" customFormat="false" ht="12.75" hidden="false" customHeight="false" outlineLevel="0" collapsed="false">
      <c r="A525" s="58"/>
      <c r="B525" s="59"/>
      <c r="C525" s="60"/>
      <c r="D525" s="61"/>
      <c r="E525" s="61"/>
      <c r="F525" s="60"/>
    </row>
    <row r="526" customFormat="false" ht="12.75" hidden="false" customHeight="false" outlineLevel="0" collapsed="false">
      <c r="A526" s="58" t="s">
        <v>983</v>
      </c>
      <c r="B526" s="59" t="s">
        <v>984</v>
      </c>
      <c r="C526" s="60" t="s">
        <v>985</v>
      </c>
      <c r="D526" s="61" t="s">
        <v>224</v>
      </c>
      <c r="E526" s="61" t="s">
        <v>82</v>
      </c>
      <c r="F526" s="60"/>
    </row>
    <row r="527" customFormat="false" ht="12.75" hidden="false" customHeight="false" outlineLevel="0" collapsed="false">
      <c r="A527" s="58" t="s">
        <v>986</v>
      </c>
      <c r="B527" s="59" t="s">
        <v>987</v>
      </c>
      <c r="C527" s="60" t="s">
        <v>87</v>
      </c>
      <c r="D527" s="61" t="s">
        <v>328</v>
      </c>
      <c r="E527" s="61" t="s">
        <v>82</v>
      </c>
      <c r="F527" s="60"/>
    </row>
    <row r="528" customFormat="false" ht="12.75" hidden="false" customHeight="false" outlineLevel="0" collapsed="false">
      <c r="A528" s="58"/>
      <c r="B528" s="59"/>
      <c r="C528" s="60"/>
      <c r="D528" s="61"/>
      <c r="E528" s="61"/>
      <c r="F528" s="60"/>
    </row>
    <row r="529" customFormat="false" ht="12.75" hidden="false" customHeight="false" outlineLevel="0" collapsed="false">
      <c r="A529" s="58" t="s">
        <v>988</v>
      </c>
      <c r="B529" s="59" t="s">
        <v>989</v>
      </c>
      <c r="C529" s="60" t="s">
        <v>990</v>
      </c>
      <c r="D529" s="61" t="s">
        <v>224</v>
      </c>
      <c r="E529" s="61" t="s">
        <v>82</v>
      </c>
      <c r="F529" s="60"/>
    </row>
    <row r="530" customFormat="false" ht="12.75" hidden="false" customHeight="false" outlineLevel="0" collapsed="false">
      <c r="A530" s="58" t="s">
        <v>991</v>
      </c>
      <c r="B530" s="59" t="s">
        <v>992</v>
      </c>
      <c r="C530" s="60" t="s">
        <v>87</v>
      </c>
      <c r="D530" s="61" t="s">
        <v>328</v>
      </c>
      <c r="E530" s="61" t="s">
        <v>82</v>
      </c>
      <c r="F530" s="60"/>
    </row>
    <row r="531" customFormat="false" ht="12.75" hidden="false" customHeight="false" outlineLevel="0" collapsed="false">
      <c r="A531" s="58"/>
      <c r="B531" s="59"/>
      <c r="C531" s="60"/>
      <c r="D531" s="61"/>
      <c r="E531" s="61"/>
      <c r="F531" s="60"/>
    </row>
    <row r="532" customFormat="false" ht="12.75" hidden="false" customHeight="false" outlineLevel="0" collapsed="false">
      <c r="A532" s="58" t="s">
        <v>993</v>
      </c>
      <c r="B532" s="59" t="s">
        <v>994</v>
      </c>
      <c r="C532" s="60" t="s">
        <v>87</v>
      </c>
      <c r="D532" s="61" t="s">
        <v>478</v>
      </c>
      <c r="E532" s="61" t="s">
        <v>82</v>
      </c>
      <c r="F532" s="60"/>
    </row>
    <row r="533" customFormat="false" ht="12.75" hidden="false" customHeight="false" outlineLevel="0" collapsed="false">
      <c r="A533" s="58"/>
      <c r="B533" s="59"/>
      <c r="C533" s="60"/>
      <c r="D533" s="61"/>
      <c r="E533" s="61"/>
      <c r="F533" s="60"/>
    </row>
    <row r="534" customFormat="false" ht="12.75" hidden="false" customHeight="false" outlineLevel="0" collapsed="false">
      <c r="A534" s="58" t="s">
        <v>995</v>
      </c>
      <c r="B534" s="59" t="s">
        <v>996</v>
      </c>
      <c r="C534" s="60" t="s">
        <v>106</v>
      </c>
      <c r="D534" s="61" t="s">
        <v>997</v>
      </c>
      <c r="E534" s="61" t="s">
        <v>88</v>
      </c>
      <c r="F534" s="60"/>
    </row>
    <row r="535" customFormat="false" ht="12.75" hidden="false" customHeight="false" outlineLevel="0" collapsed="false">
      <c r="A535" s="58"/>
      <c r="B535" s="59"/>
      <c r="C535" s="60"/>
      <c r="D535" s="61"/>
      <c r="E535" s="61"/>
      <c r="F535" s="60"/>
    </row>
    <row r="536" customFormat="false" ht="63.75" hidden="false" customHeight="false" outlineLevel="0" collapsed="false">
      <c r="A536" s="58" t="s">
        <v>998</v>
      </c>
      <c r="B536" s="59" t="s">
        <v>999</v>
      </c>
      <c r="C536" s="60" t="s">
        <v>80</v>
      </c>
      <c r="D536" s="61" t="s">
        <v>81</v>
      </c>
      <c r="E536" s="61" t="s">
        <v>88</v>
      </c>
      <c r="F536" s="60" t="s">
        <v>1000</v>
      </c>
    </row>
    <row r="537" customFormat="false" ht="12.75" hidden="false" customHeight="false" outlineLevel="0" collapsed="false">
      <c r="A537" s="58" t="s">
        <v>1001</v>
      </c>
      <c r="B537" s="59" t="s">
        <v>1002</v>
      </c>
      <c r="C537" s="60" t="s">
        <v>106</v>
      </c>
      <c r="D537" s="61" t="s">
        <v>1003</v>
      </c>
      <c r="E537" s="61" t="s">
        <v>88</v>
      </c>
      <c r="F537" s="60" t="s">
        <v>1004</v>
      </c>
    </row>
    <row r="538" customFormat="false" ht="12.75" hidden="false" customHeight="false" outlineLevel="0" collapsed="false">
      <c r="A538" s="58" t="s">
        <v>1005</v>
      </c>
      <c r="B538" s="59" t="s">
        <v>1002</v>
      </c>
      <c r="C538" s="60" t="s">
        <v>106</v>
      </c>
      <c r="D538" s="61" t="s">
        <v>924</v>
      </c>
      <c r="E538" s="61" t="s">
        <v>88</v>
      </c>
      <c r="F538" s="60" t="s">
        <v>1004</v>
      </c>
    </row>
    <row r="539" customFormat="false" ht="12.75" hidden="false" customHeight="false" outlineLevel="0" collapsed="false">
      <c r="A539" s="58" t="s">
        <v>1006</v>
      </c>
      <c r="B539" s="59" t="s">
        <v>1007</v>
      </c>
      <c r="C539" s="60" t="s">
        <v>106</v>
      </c>
      <c r="D539" s="61" t="s">
        <v>81</v>
      </c>
      <c r="E539" s="61" t="s">
        <v>88</v>
      </c>
      <c r="F539" s="60" t="s">
        <v>1004</v>
      </c>
    </row>
    <row r="540" customFormat="false" ht="12.75" hidden="false" customHeight="false" outlineLevel="0" collapsed="false">
      <c r="A540" s="58"/>
      <c r="B540" s="59"/>
      <c r="C540" s="60"/>
      <c r="D540" s="61"/>
      <c r="E540" s="61"/>
      <c r="F540" s="60"/>
    </row>
    <row r="541" customFormat="false" ht="12.75" hidden="false" customHeight="false" outlineLevel="0" collapsed="false">
      <c r="A541" s="58" t="s">
        <v>1008</v>
      </c>
      <c r="B541" s="59" t="s">
        <v>1009</v>
      </c>
      <c r="C541" s="60" t="s">
        <v>106</v>
      </c>
      <c r="D541" s="61" t="s">
        <v>842</v>
      </c>
      <c r="E541" s="61" t="s">
        <v>82</v>
      </c>
      <c r="F541" s="60"/>
    </row>
    <row r="542" customFormat="false" ht="12.75" hidden="false" customHeight="false" outlineLevel="0" collapsed="false">
      <c r="A542" s="58" t="s">
        <v>1010</v>
      </c>
      <c r="B542" s="59" t="s">
        <v>1011</v>
      </c>
      <c r="C542" s="60" t="s">
        <v>106</v>
      </c>
      <c r="D542" s="61" t="s">
        <v>842</v>
      </c>
      <c r="E542" s="61" t="s">
        <v>82</v>
      </c>
      <c r="F542" s="60"/>
    </row>
    <row r="543" customFormat="false" ht="12.75" hidden="false" customHeight="false" outlineLevel="0" collapsed="false">
      <c r="A543" s="58" t="s">
        <v>1012</v>
      </c>
      <c r="B543" s="59" t="s">
        <v>1013</v>
      </c>
      <c r="C543" s="60" t="s">
        <v>106</v>
      </c>
      <c r="D543" s="61" t="s">
        <v>842</v>
      </c>
      <c r="E543" s="61" t="s">
        <v>82</v>
      </c>
      <c r="F543" s="60"/>
    </row>
    <row r="544" customFormat="false" ht="12.75" hidden="false" customHeight="false" outlineLevel="0" collapsed="false">
      <c r="A544" s="58" t="s">
        <v>1014</v>
      </c>
      <c r="B544" s="59" t="s">
        <v>1015</v>
      </c>
      <c r="C544" s="60" t="s">
        <v>106</v>
      </c>
      <c r="D544" s="61" t="s">
        <v>842</v>
      </c>
      <c r="E544" s="61" t="s">
        <v>82</v>
      </c>
      <c r="F544" s="60"/>
    </row>
    <row r="545" customFormat="false" ht="12.75" hidden="false" customHeight="false" outlineLevel="0" collapsed="false">
      <c r="A545" s="58"/>
      <c r="B545" s="59"/>
      <c r="C545" s="60"/>
      <c r="D545" s="61"/>
      <c r="E545" s="61"/>
      <c r="F545" s="60"/>
    </row>
    <row r="546" customFormat="false" ht="12.75" hidden="false" customHeight="false" outlineLevel="0" collapsed="false">
      <c r="A546" s="58" t="s">
        <v>1016</v>
      </c>
      <c r="B546" s="59" t="s">
        <v>1017</v>
      </c>
      <c r="C546" s="60" t="s">
        <v>106</v>
      </c>
      <c r="D546" s="61" t="s">
        <v>478</v>
      </c>
      <c r="E546" s="61" t="s">
        <v>82</v>
      </c>
      <c r="F546" s="60"/>
    </row>
    <row r="547" customFormat="false" ht="12.75" hidden="false" customHeight="false" outlineLevel="0" collapsed="false">
      <c r="A547" s="58" t="s">
        <v>1018</v>
      </c>
      <c r="B547" s="59" t="s">
        <v>1019</v>
      </c>
      <c r="C547" s="60" t="s">
        <v>87</v>
      </c>
      <c r="D547" s="61" t="s">
        <v>81</v>
      </c>
      <c r="E547" s="61" t="s">
        <v>82</v>
      </c>
      <c r="F547" s="60"/>
    </row>
    <row r="548" customFormat="false" ht="12.75" hidden="false" customHeight="false" outlineLevel="0" collapsed="false">
      <c r="A548" s="58"/>
      <c r="B548" s="59"/>
      <c r="C548" s="60"/>
      <c r="D548" s="61"/>
      <c r="E548" s="61"/>
      <c r="F548" s="60"/>
    </row>
    <row r="549" customFormat="false" ht="12.75" hidden="false" customHeight="false" outlineLevel="0" collapsed="false">
      <c r="A549" s="58" t="s">
        <v>1020</v>
      </c>
      <c r="B549" s="59" t="s">
        <v>1021</v>
      </c>
      <c r="C549" s="60" t="s">
        <v>87</v>
      </c>
      <c r="D549" s="61" t="s">
        <v>1022</v>
      </c>
      <c r="E549" s="61" t="s">
        <v>82</v>
      </c>
      <c r="F549" s="60"/>
    </row>
    <row r="550" customFormat="false" ht="12.75" hidden="false" customHeight="false" outlineLevel="0" collapsed="false">
      <c r="A550" s="58" t="s">
        <v>1023</v>
      </c>
      <c r="B550" s="59" t="s">
        <v>1024</v>
      </c>
      <c r="C550" s="60" t="s">
        <v>87</v>
      </c>
      <c r="D550" s="61" t="s">
        <v>1022</v>
      </c>
      <c r="E550" s="61" t="s">
        <v>82</v>
      </c>
      <c r="F550" s="60"/>
    </row>
    <row r="551" customFormat="false" ht="12.75" hidden="false" customHeight="false" outlineLevel="0" collapsed="false">
      <c r="A551" s="58"/>
      <c r="B551" s="59"/>
      <c r="C551" s="60"/>
      <c r="D551" s="61"/>
      <c r="E551" s="61"/>
      <c r="F551" s="60"/>
    </row>
    <row r="552" customFormat="false" ht="12.75" hidden="false" customHeight="false" outlineLevel="0" collapsed="false">
      <c r="A552" s="58" t="s">
        <v>1025</v>
      </c>
      <c r="B552" s="59" t="s">
        <v>1026</v>
      </c>
      <c r="C552" s="60" t="s">
        <v>80</v>
      </c>
      <c r="D552" s="61" t="s">
        <v>81</v>
      </c>
      <c r="E552" s="61" t="s">
        <v>88</v>
      </c>
      <c r="F552" s="60"/>
    </row>
    <row r="553" customFormat="false" ht="12.75" hidden="false" customHeight="false" outlineLevel="0" collapsed="false">
      <c r="A553" s="58"/>
      <c r="B553" s="59"/>
      <c r="C553" s="60"/>
      <c r="D553" s="61"/>
      <c r="E553" s="61"/>
      <c r="F553" s="60"/>
    </row>
    <row r="554" customFormat="false" ht="12.75" hidden="false" customHeight="false" outlineLevel="0" collapsed="false">
      <c r="A554" s="58" t="s">
        <v>1027</v>
      </c>
      <c r="B554" s="59" t="s">
        <v>1028</v>
      </c>
      <c r="C554" s="60" t="s">
        <v>87</v>
      </c>
      <c r="D554" s="61" t="s">
        <v>81</v>
      </c>
      <c r="E554" s="61" t="s">
        <v>88</v>
      </c>
      <c r="F554" s="60"/>
    </row>
    <row r="555" customFormat="false" ht="12.75" hidden="false" customHeight="false" outlineLevel="0" collapsed="false">
      <c r="A555" s="58"/>
      <c r="B555" s="59"/>
      <c r="C555" s="60"/>
      <c r="D555" s="61"/>
      <c r="E555" s="61"/>
      <c r="F555" s="60"/>
    </row>
    <row r="556" customFormat="false" ht="12.75" hidden="false" customHeight="false" outlineLevel="0" collapsed="false">
      <c r="A556" s="58" t="s">
        <v>1029</v>
      </c>
      <c r="B556" s="59" t="s">
        <v>1030</v>
      </c>
      <c r="C556" s="60" t="s">
        <v>80</v>
      </c>
      <c r="D556" s="61" t="s">
        <v>81</v>
      </c>
      <c r="E556" s="61" t="s">
        <v>88</v>
      </c>
      <c r="F556" s="60"/>
    </row>
    <row r="557" customFormat="false" ht="12.75" hidden="false" customHeight="false" outlineLevel="0" collapsed="false">
      <c r="A557" s="58"/>
      <c r="B557" s="59"/>
      <c r="C557" s="60"/>
      <c r="D557" s="61"/>
      <c r="E557" s="61"/>
      <c r="F557" s="60"/>
    </row>
    <row r="558" customFormat="false" ht="12.75" hidden="false" customHeight="false" outlineLevel="0" collapsed="false">
      <c r="A558" s="58" t="s">
        <v>1031</v>
      </c>
      <c r="B558" s="59" t="s">
        <v>1032</v>
      </c>
      <c r="C558" s="60" t="s">
        <v>87</v>
      </c>
      <c r="D558" s="61" t="s">
        <v>81</v>
      </c>
      <c r="E558" s="61" t="s">
        <v>82</v>
      </c>
      <c r="F558" s="60"/>
    </row>
    <row r="559" customFormat="false" ht="12.75" hidden="false" customHeight="false" outlineLevel="0" collapsed="false">
      <c r="A559" s="58" t="s">
        <v>1033</v>
      </c>
      <c r="B559" s="59" t="s">
        <v>1034</v>
      </c>
      <c r="C559" s="60" t="s">
        <v>87</v>
      </c>
      <c r="D559" s="61" t="s">
        <v>478</v>
      </c>
      <c r="E559" s="61" t="s">
        <v>82</v>
      </c>
      <c r="F559" s="60"/>
    </row>
    <row r="560" customFormat="false" ht="12.75" hidden="false" customHeight="false" outlineLevel="0" collapsed="false">
      <c r="A560" s="58"/>
      <c r="B560" s="59"/>
      <c r="C560" s="60"/>
      <c r="D560" s="61"/>
      <c r="E560" s="61"/>
      <c r="F560" s="60"/>
    </row>
    <row r="561" customFormat="false" ht="12.75" hidden="false" customHeight="false" outlineLevel="0" collapsed="false">
      <c r="A561" s="58" t="s">
        <v>1035</v>
      </c>
      <c r="B561" s="59" t="s">
        <v>1036</v>
      </c>
      <c r="C561" s="60" t="s">
        <v>87</v>
      </c>
      <c r="D561" s="61" t="s">
        <v>213</v>
      </c>
      <c r="E561" s="61" t="s">
        <v>82</v>
      </c>
      <c r="F561" s="60"/>
    </row>
    <row r="562" customFormat="false" ht="12.75" hidden="false" customHeight="false" outlineLevel="0" collapsed="false">
      <c r="A562" s="58"/>
      <c r="B562" s="59"/>
      <c r="C562" s="60"/>
      <c r="D562" s="61"/>
      <c r="E562" s="61"/>
      <c r="F562" s="60"/>
    </row>
    <row r="563" customFormat="false" ht="12.75" hidden="false" customHeight="false" outlineLevel="0" collapsed="false">
      <c r="A563" s="58" t="s">
        <v>1037</v>
      </c>
      <c r="B563" s="59" t="s">
        <v>1038</v>
      </c>
      <c r="C563" s="60" t="s">
        <v>87</v>
      </c>
      <c r="D563" s="61" t="s">
        <v>478</v>
      </c>
      <c r="E563" s="61" t="s">
        <v>82</v>
      </c>
      <c r="F563" s="60"/>
    </row>
    <row r="564" customFormat="false" ht="12.75" hidden="false" customHeight="false" outlineLevel="0" collapsed="false">
      <c r="A564" s="58" t="s">
        <v>1039</v>
      </c>
      <c r="B564" s="59" t="s">
        <v>1040</v>
      </c>
      <c r="C564" s="60" t="s">
        <v>87</v>
      </c>
      <c r="D564" s="61" t="s">
        <v>1041</v>
      </c>
      <c r="E564" s="61" t="s">
        <v>82</v>
      </c>
      <c r="F564" s="60"/>
    </row>
    <row r="565" customFormat="false" ht="12.75" hidden="false" customHeight="false" outlineLevel="0" collapsed="false">
      <c r="A565" s="58" t="s">
        <v>1042</v>
      </c>
      <c r="B565" s="59" t="s">
        <v>1043</v>
      </c>
      <c r="C565" s="60" t="s">
        <v>87</v>
      </c>
      <c r="D565" s="61" t="s">
        <v>1041</v>
      </c>
      <c r="E565" s="61" t="s">
        <v>82</v>
      </c>
      <c r="F565" s="60"/>
    </row>
    <row r="566" customFormat="false" ht="12.75" hidden="false" customHeight="false" outlineLevel="0" collapsed="false">
      <c r="A566" s="58"/>
      <c r="B566" s="59"/>
      <c r="C566" s="60"/>
      <c r="D566" s="61"/>
      <c r="E566" s="61"/>
      <c r="F566" s="60"/>
    </row>
    <row r="567" customFormat="false" ht="12.75" hidden="false" customHeight="false" outlineLevel="0" collapsed="false">
      <c r="A567" s="58" t="s">
        <v>1044</v>
      </c>
      <c r="B567" s="59" t="s">
        <v>1045</v>
      </c>
      <c r="C567" s="60" t="s">
        <v>87</v>
      </c>
      <c r="D567" s="61" t="s">
        <v>924</v>
      </c>
      <c r="E567" s="61" t="s">
        <v>82</v>
      </c>
      <c r="F567" s="60"/>
    </row>
    <row r="568" customFormat="false" ht="12.75" hidden="false" customHeight="false" outlineLevel="0" collapsed="false">
      <c r="A568" s="58"/>
      <c r="B568" s="59"/>
      <c r="C568" s="60"/>
      <c r="D568" s="61"/>
      <c r="E568" s="61"/>
      <c r="F568" s="60"/>
    </row>
    <row r="569" customFormat="false" ht="12.75" hidden="false" customHeight="false" outlineLevel="0" collapsed="false">
      <c r="A569" s="58" t="s">
        <v>1046</v>
      </c>
      <c r="B569" s="59" t="s">
        <v>1047</v>
      </c>
      <c r="C569" s="60" t="s">
        <v>80</v>
      </c>
      <c r="D569" s="61" t="s">
        <v>81</v>
      </c>
      <c r="E569" s="61" t="s">
        <v>88</v>
      </c>
      <c r="F569" s="60"/>
    </row>
    <row r="570" customFormat="false" ht="12.75" hidden="false" customHeight="false" outlineLevel="0" collapsed="false">
      <c r="A570" s="58" t="s">
        <v>1048</v>
      </c>
      <c r="B570" s="59" t="s">
        <v>1049</v>
      </c>
      <c r="C570" s="60" t="s">
        <v>80</v>
      </c>
      <c r="D570" s="61" t="s">
        <v>81</v>
      </c>
      <c r="E570" s="61" t="s">
        <v>88</v>
      </c>
      <c r="F570" s="60"/>
    </row>
    <row r="571" customFormat="false" ht="12.75" hidden="false" customHeight="false" outlineLevel="0" collapsed="false">
      <c r="A571" s="58"/>
      <c r="B571" s="59"/>
      <c r="C571" s="60"/>
      <c r="D571" s="61"/>
      <c r="E571" s="61"/>
      <c r="F571" s="60"/>
    </row>
    <row r="572" customFormat="false" ht="12.75" hidden="false" customHeight="false" outlineLevel="0" collapsed="false">
      <c r="A572" s="58" t="s">
        <v>1050</v>
      </c>
      <c r="B572" s="59" t="s">
        <v>1051</v>
      </c>
      <c r="C572" s="60" t="s">
        <v>80</v>
      </c>
      <c r="D572" s="61" t="s">
        <v>81</v>
      </c>
      <c r="E572" s="61" t="s">
        <v>88</v>
      </c>
      <c r="F572" s="60"/>
    </row>
  </sheetData>
  <autoFilter ref="A4:F654"/>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1:BR33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3" ySplit="12" topLeftCell="D13" activePane="bottomRight" state="frozen"/>
      <selection pane="topLeft" activeCell="A1" activeCellId="0" sqref="A1"/>
      <selection pane="topRight" activeCell="D1" activeCellId="0" sqref="D1"/>
      <selection pane="bottomLeft" activeCell="A13" activeCellId="0" sqref="A13"/>
      <selection pane="bottomRight" activeCell="D1" activeCellId="1" sqref="C275:D279 D1"/>
    </sheetView>
  </sheetViews>
  <sheetFormatPr defaultRowHeight="15" zeroHeight="false" outlineLevelRow="0" outlineLevelCol="0"/>
  <cols>
    <col collapsed="false" customWidth="true" hidden="false" outlineLevel="0" max="1" min="1" style="64" width="19"/>
    <col collapsed="false" customWidth="true" hidden="false" outlineLevel="0" max="2" min="2" style="65" width="12.89"/>
    <col collapsed="false" customWidth="true" hidden="false" outlineLevel="0" max="3" min="3" style="66" width="43.17"/>
    <col collapsed="false" customWidth="true" hidden="false" outlineLevel="0" max="4" min="4" style="67" width="12.38"/>
    <col collapsed="false" customWidth="true" hidden="false" outlineLevel="0" max="5" min="5" style="67" width="11.66"/>
    <col collapsed="false" customWidth="true" hidden="false" outlineLevel="0" max="6" min="6" style="67" width="14.67"/>
    <col collapsed="false" customWidth="true" hidden="false" outlineLevel="0" max="7" min="7" style="68" width="13.44"/>
    <col collapsed="false" customWidth="true" hidden="false" outlineLevel="0" max="8" min="8" style="69" width="22.39"/>
    <col collapsed="false" customWidth="true" hidden="false" outlineLevel="0" max="9" min="9" style="70" width="22.78"/>
    <col collapsed="false" customWidth="true" hidden="false" outlineLevel="0" max="10" min="10" style="71" width="22.28"/>
    <col collapsed="false" customWidth="true" hidden="false" outlineLevel="0" max="11" min="11" style="72" width="22.55"/>
    <col collapsed="false" customWidth="true" hidden="false" outlineLevel="0" max="12" min="12" style="73" width="31.44"/>
    <col collapsed="false" customWidth="true" hidden="false" outlineLevel="0" max="13" min="13" style="73" width="32.11"/>
    <col collapsed="false" customWidth="true" hidden="false" outlineLevel="0" max="14" min="14" style="73" width="46.71"/>
    <col collapsed="false" customWidth="true" hidden="false" outlineLevel="0" max="15" min="15" style="73" width="37.84"/>
    <col collapsed="false" customWidth="true" hidden="false" outlineLevel="0" max="16" min="16" style="73" width="35.05"/>
    <col collapsed="false" customWidth="true" hidden="false" outlineLevel="0" max="17" min="17" style="73" width="26.5"/>
    <col collapsed="false" customWidth="true" hidden="false" outlineLevel="0" max="18" min="18" style="73" width="28.88"/>
    <col collapsed="false" customWidth="true" hidden="false" outlineLevel="0" max="19" min="19" style="73" width="38.77"/>
    <col collapsed="false" customWidth="true" hidden="false" outlineLevel="0" max="20" min="20" style="73" width="32.44"/>
    <col collapsed="false" customWidth="true" hidden="false" outlineLevel="0" max="21" min="21" style="73" width="29.94"/>
    <col collapsed="false" customWidth="true" hidden="false" outlineLevel="0" max="22" min="22" style="73" width="28.66"/>
    <col collapsed="false" customWidth="true" hidden="false" outlineLevel="0" max="23" min="23" style="73" width="36.06"/>
    <col collapsed="false" customWidth="true" hidden="false" outlineLevel="0" max="42" min="24" style="73" width="24.94"/>
    <col collapsed="false" customWidth="true" hidden="false" outlineLevel="0" max="50" min="43" style="74" width="24.94"/>
    <col collapsed="false" customWidth="true" hidden="false" outlineLevel="0" max="52" min="51" style="75" width="24.94"/>
    <col collapsed="false" customWidth="true" hidden="false" outlineLevel="0" max="63" min="53" style="75" width="10.6"/>
    <col collapsed="false" customWidth="true" hidden="false" outlineLevel="0" max="1025" min="64" style="76" width="10.6"/>
  </cols>
  <sheetData>
    <row r="1" s="81" customFormat="true" ht="15" hidden="false" customHeight="false" outlineLevel="0" collapsed="false">
      <c r="A1" s="77" t="s">
        <v>1052</v>
      </c>
      <c r="B1" s="78"/>
      <c r="C1" s="79"/>
      <c r="D1" s="80"/>
      <c r="H1" s="82"/>
      <c r="I1" s="83"/>
      <c r="J1" s="84"/>
      <c r="K1" s="84"/>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6"/>
      <c r="AR1" s="86"/>
      <c r="AS1" s="86"/>
      <c r="AT1" s="86"/>
      <c r="AU1" s="86"/>
      <c r="AV1" s="86"/>
      <c r="AW1" s="86"/>
      <c r="AX1" s="86"/>
      <c r="AY1" s="87"/>
      <c r="AZ1" s="87"/>
      <c r="BA1" s="87"/>
      <c r="BB1" s="87"/>
      <c r="BC1" s="87"/>
      <c r="BD1" s="87"/>
      <c r="BE1" s="87"/>
      <c r="BF1" s="87"/>
      <c r="BG1" s="87"/>
      <c r="BH1" s="87"/>
      <c r="BI1" s="87"/>
      <c r="BJ1" s="87"/>
      <c r="BK1" s="87"/>
    </row>
    <row r="2" customFormat="false" ht="20.65" hidden="false" customHeight="false" outlineLevel="0" collapsed="false">
      <c r="A2" s="64" t="s">
        <v>1053</v>
      </c>
      <c r="C2" s="88"/>
      <c r="D2" s="89"/>
      <c r="H2" s="90"/>
      <c r="I2" s="90"/>
      <c r="J2" s="90"/>
      <c r="K2" s="90"/>
    </row>
    <row r="3" customFormat="false" ht="15" hidden="false" customHeight="false" outlineLevel="0" collapsed="false">
      <c r="A3" s="91" t="s">
        <v>1054</v>
      </c>
      <c r="B3" s="92"/>
      <c r="C3" s="93"/>
      <c r="D3" s="94"/>
      <c r="H3" s="68"/>
      <c r="I3" s="68"/>
      <c r="K3" s="71"/>
    </row>
    <row r="4" customFormat="false" ht="15" hidden="false" customHeight="false" outlineLevel="0" collapsed="false">
      <c r="A4" s="91" t="s">
        <v>1055</v>
      </c>
      <c r="B4" s="92"/>
      <c r="C4" s="93"/>
      <c r="D4" s="94"/>
      <c r="H4" s="68"/>
      <c r="I4" s="68"/>
      <c r="K4" s="71"/>
    </row>
    <row r="5" customFormat="false" ht="15" hidden="false" customHeight="false" outlineLevel="0" collapsed="false">
      <c r="A5" s="95" t="s">
        <v>1056</v>
      </c>
      <c r="B5" s="92"/>
      <c r="C5" s="93"/>
      <c r="D5" s="94"/>
      <c r="E5" s="96"/>
      <c r="F5" s="96"/>
      <c r="G5" s="96"/>
      <c r="H5" s="68"/>
      <c r="I5" s="68"/>
      <c r="K5" s="71"/>
    </row>
    <row r="6" customFormat="false" ht="17.65" hidden="false" customHeight="false" outlineLevel="0" collapsed="false">
      <c r="A6" s="95" t="s">
        <v>1057</v>
      </c>
      <c r="B6" s="92"/>
      <c r="C6" s="93"/>
      <c r="D6" s="94"/>
      <c r="E6" s="96"/>
      <c r="F6" s="96"/>
      <c r="G6" s="96"/>
      <c r="H6" s="97"/>
      <c r="I6" s="98"/>
      <c r="J6" s="99"/>
      <c r="K6" s="71"/>
    </row>
    <row r="7" customFormat="false" ht="17.25" hidden="false" customHeight="false" outlineLevel="0" collapsed="false">
      <c r="B7" s="92"/>
      <c r="C7" s="93"/>
      <c r="D7" s="94"/>
      <c r="E7" s="96"/>
      <c r="F7" s="96"/>
      <c r="G7" s="96"/>
      <c r="H7" s="68"/>
      <c r="I7" s="98"/>
      <c r="K7" s="100"/>
    </row>
    <row r="8" customFormat="false" ht="15" hidden="false" customHeight="false" outlineLevel="0" collapsed="false">
      <c r="A8" s="101" t="s">
        <v>1058</v>
      </c>
      <c r="B8" s="92" t="s">
        <v>1059</v>
      </c>
      <c r="C8" s="102" t="s">
        <v>1060</v>
      </c>
      <c r="D8" s="103"/>
      <c r="E8" s="68"/>
      <c r="F8" s="68"/>
      <c r="H8" s="68"/>
      <c r="I8" s="68"/>
      <c r="K8" s="71"/>
    </row>
    <row r="9" customFormat="false" ht="15" hidden="false" customHeight="false" outlineLevel="0" collapsed="false">
      <c r="A9" s="101"/>
      <c r="B9" s="92" t="s">
        <v>1061</v>
      </c>
      <c r="C9" s="102" t="s">
        <v>1062</v>
      </c>
      <c r="D9" s="103"/>
      <c r="E9" s="68"/>
      <c r="F9" s="68"/>
      <c r="H9" s="68"/>
      <c r="I9" s="68"/>
      <c r="K9" s="71"/>
    </row>
    <row r="10" customFormat="false" ht="18" hidden="false" customHeight="false" outlineLevel="0" collapsed="false">
      <c r="B10" s="104"/>
      <c r="C10" s="105" t="s">
        <v>1063</v>
      </c>
      <c r="D10" s="106"/>
      <c r="E10" s="107"/>
      <c r="F10" s="107"/>
      <c r="G10" s="107"/>
      <c r="H10" s="108"/>
      <c r="I10" s="108"/>
      <c r="J10" s="108"/>
      <c r="K10" s="108"/>
    </row>
    <row r="11" customFormat="false" ht="30.4" hidden="false" customHeight="true" outlineLevel="0" collapsed="false">
      <c r="A11" s="109"/>
      <c r="B11" s="65" t="s">
        <v>1064</v>
      </c>
      <c r="C11" s="102" t="s">
        <v>1065</v>
      </c>
      <c r="D11" s="110" t="s">
        <v>1066</v>
      </c>
      <c r="E11" s="111" t="s">
        <v>1067</v>
      </c>
      <c r="F11" s="112" t="s">
        <v>1068</v>
      </c>
      <c r="G11" s="112"/>
      <c r="H11" s="113" t="s">
        <v>1069</v>
      </c>
      <c r="I11" s="114" t="s">
        <v>1070</v>
      </c>
      <c r="J11" s="115" t="s">
        <v>1071</v>
      </c>
      <c r="K11" s="116" t="s">
        <v>1070</v>
      </c>
    </row>
    <row r="12" s="128" customFormat="true" ht="75.4" hidden="false" customHeight="false" outlineLevel="0" collapsed="false">
      <c r="A12" s="117" t="s">
        <v>1072</v>
      </c>
      <c r="B12" s="117" t="s">
        <v>1073</v>
      </c>
      <c r="C12" s="118" t="s">
        <v>1074</v>
      </c>
      <c r="D12" s="119" t="s">
        <v>1075</v>
      </c>
      <c r="E12" s="119" t="s">
        <v>1076</v>
      </c>
      <c r="F12" s="119" t="s">
        <v>1077</v>
      </c>
      <c r="G12" s="120" t="s">
        <v>1078</v>
      </c>
      <c r="H12" s="121" t="s">
        <v>1079</v>
      </c>
      <c r="I12" s="122" t="s">
        <v>1080</v>
      </c>
      <c r="J12" s="123" t="s">
        <v>1081</v>
      </c>
      <c r="K12" s="124" t="s">
        <v>1082</v>
      </c>
      <c r="L12" s="125" t="s">
        <v>1083</v>
      </c>
      <c r="M12" s="125" t="s">
        <v>1083</v>
      </c>
      <c r="N12" s="125" t="s">
        <v>1083</v>
      </c>
      <c r="O12" s="125" t="s">
        <v>1083</v>
      </c>
      <c r="P12" s="125" t="s">
        <v>1083</v>
      </c>
      <c r="Q12" s="125" t="s">
        <v>1083</v>
      </c>
      <c r="R12" s="125" t="s">
        <v>1083</v>
      </c>
      <c r="S12" s="125" t="s">
        <v>1083</v>
      </c>
      <c r="T12" s="125" t="s">
        <v>1083</v>
      </c>
      <c r="U12" s="125" t="s">
        <v>1083</v>
      </c>
      <c r="V12" s="125" t="s">
        <v>1083</v>
      </c>
      <c r="W12" s="125" t="s">
        <v>1083</v>
      </c>
      <c r="X12" s="125" t="s">
        <v>1083</v>
      </c>
      <c r="Y12" s="125" t="s">
        <v>1083</v>
      </c>
      <c r="Z12" s="125" t="s">
        <v>1083</v>
      </c>
      <c r="AA12" s="125" t="s">
        <v>1083</v>
      </c>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7"/>
      <c r="AZ12" s="127"/>
      <c r="BA12" s="127"/>
      <c r="BB12" s="127"/>
      <c r="BC12" s="127"/>
      <c r="BD12" s="127"/>
      <c r="BE12" s="127"/>
      <c r="BF12" s="127"/>
      <c r="BG12" s="127"/>
      <c r="BH12" s="127"/>
      <c r="BI12" s="127"/>
      <c r="BJ12" s="127"/>
      <c r="BK12" s="127"/>
    </row>
    <row r="13" s="140" customFormat="true" ht="30" hidden="false" customHeight="false" outlineLevel="0" collapsed="false">
      <c r="A13" s="129" t="s">
        <v>78</v>
      </c>
      <c r="B13" s="130" t="s">
        <v>1084</v>
      </c>
      <c r="C13" s="131" t="s">
        <v>1085</v>
      </c>
      <c r="D13" s="132" t="s">
        <v>1086</v>
      </c>
      <c r="E13" s="132" t="s">
        <v>1086</v>
      </c>
      <c r="F13" s="132" t="s">
        <v>1087</v>
      </c>
      <c r="G13" s="133" t="s">
        <v>1087</v>
      </c>
      <c r="H13" s="134" t="s">
        <v>81</v>
      </c>
      <c r="I13" s="135" t="s">
        <v>82</v>
      </c>
      <c r="J13" s="136" t="s">
        <v>81</v>
      </c>
      <c r="K13" s="137" t="s">
        <v>82</v>
      </c>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8"/>
      <c r="AW13" s="138"/>
      <c r="AX13" s="138"/>
      <c r="AY13" s="139"/>
      <c r="AZ13" s="139"/>
      <c r="BA13" s="139"/>
      <c r="BB13" s="139"/>
      <c r="BC13" s="139"/>
      <c r="BD13" s="139"/>
      <c r="BE13" s="139"/>
      <c r="BF13" s="139"/>
      <c r="BG13" s="139"/>
      <c r="BH13" s="139"/>
      <c r="BI13" s="139"/>
      <c r="BJ13" s="139"/>
      <c r="BK13" s="139"/>
      <c r="BL13" s="139"/>
      <c r="BM13" s="139"/>
      <c r="BN13" s="139"/>
      <c r="BO13" s="139"/>
      <c r="BP13" s="139"/>
      <c r="BQ13" s="139"/>
      <c r="BR13" s="139"/>
    </row>
    <row r="14" s="140" customFormat="true" ht="30" hidden="false" customHeight="false" outlineLevel="0" collapsed="false">
      <c r="A14" s="129" t="s">
        <v>83</v>
      </c>
      <c r="B14" s="130" t="s">
        <v>1084</v>
      </c>
      <c r="C14" s="131" t="s">
        <v>1088</v>
      </c>
      <c r="D14" s="132" t="s">
        <v>1086</v>
      </c>
      <c r="E14" s="132" t="s">
        <v>1086</v>
      </c>
      <c r="F14" s="132" t="s">
        <v>1089</v>
      </c>
      <c r="G14" s="133" t="s">
        <v>1089</v>
      </c>
      <c r="H14" s="134" t="s">
        <v>81</v>
      </c>
      <c r="I14" s="135" t="s">
        <v>82</v>
      </c>
      <c r="J14" s="136" t="s">
        <v>81</v>
      </c>
      <c r="K14" s="137" t="s">
        <v>82</v>
      </c>
      <c r="L14" s="138"/>
      <c r="M14" s="138"/>
      <c r="N14" s="138"/>
      <c r="O14" s="138"/>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8"/>
      <c r="AW14" s="138"/>
      <c r="AX14" s="138"/>
      <c r="AY14" s="139"/>
      <c r="AZ14" s="139"/>
      <c r="BA14" s="139"/>
      <c r="BB14" s="139"/>
      <c r="BC14" s="139"/>
      <c r="BD14" s="139"/>
      <c r="BE14" s="139"/>
      <c r="BF14" s="139"/>
      <c r="BG14" s="139"/>
      <c r="BH14" s="139"/>
      <c r="BI14" s="139"/>
      <c r="BJ14" s="139"/>
      <c r="BK14" s="139"/>
      <c r="BL14" s="139"/>
      <c r="BM14" s="139"/>
      <c r="BN14" s="139"/>
      <c r="BO14" s="139"/>
      <c r="BP14" s="139"/>
      <c r="BQ14" s="139"/>
      <c r="BR14" s="139"/>
    </row>
    <row r="15" s="75" customFormat="true" ht="15" hidden="false" customHeight="false" outlineLevel="0" collapsed="false">
      <c r="A15" s="141"/>
      <c r="B15" s="142"/>
      <c r="C15" s="143"/>
      <c r="D15" s="144"/>
      <c r="E15" s="144"/>
      <c r="F15" s="144"/>
      <c r="G15" s="145"/>
      <c r="H15" s="146"/>
      <c r="I15" s="147"/>
      <c r="J15" s="148"/>
      <c r="K15" s="149"/>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c r="AI15" s="150"/>
      <c r="AJ15" s="150"/>
      <c r="AK15" s="150"/>
      <c r="AL15" s="150"/>
      <c r="AM15" s="150"/>
      <c r="AN15" s="150"/>
      <c r="AO15" s="150"/>
      <c r="AP15" s="150"/>
      <c r="AQ15" s="150"/>
      <c r="AR15" s="150"/>
      <c r="AS15" s="150"/>
      <c r="AT15" s="150"/>
      <c r="AU15" s="150"/>
      <c r="AV15" s="150"/>
      <c r="AW15" s="150"/>
      <c r="AX15" s="150"/>
      <c r="AY15" s="151"/>
      <c r="AZ15" s="151"/>
      <c r="BA15" s="151"/>
      <c r="BB15" s="151"/>
      <c r="BC15" s="151"/>
      <c r="BD15" s="151"/>
      <c r="BE15" s="151"/>
      <c r="BF15" s="151"/>
      <c r="BG15" s="151"/>
      <c r="BH15" s="151"/>
      <c r="BI15" s="151"/>
      <c r="BJ15" s="151"/>
      <c r="BK15" s="151"/>
      <c r="BL15" s="151"/>
      <c r="BM15" s="151"/>
      <c r="BN15" s="151"/>
      <c r="BO15" s="151"/>
      <c r="BP15" s="151"/>
      <c r="BQ15" s="151"/>
      <c r="BR15" s="151"/>
    </row>
    <row r="16" s="75" customFormat="true" ht="15" hidden="false" customHeight="false" outlineLevel="0" collapsed="false">
      <c r="A16" s="141" t="s">
        <v>85</v>
      </c>
      <c r="B16" s="142" t="s">
        <v>1090</v>
      </c>
      <c r="C16" s="143" t="s">
        <v>1091</v>
      </c>
      <c r="D16" s="144"/>
      <c r="E16" s="144"/>
      <c r="F16" s="144"/>
      <c r="G16" s="145"/>
      <c r="H16" s="146" t="s">
        <v>81</v>
      </c>
      <c r="I16" s="147" t="s">
        <v>88</v>
      </c>
      <c r="J16" s="148" t="s">
        <v>81</v>
      </c>
      <c r="K16" s="149" t="s">
        <v>88</v>
      </c>
      <c r="L16" s="150" t="s">
        <v>1092</v>
      </c>
      <c r="M16" s="150" t="s">
        <v>1093</v>
      </c>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1"/>
      <c r="AZ16" s="151"/>
      <c r="BA16" s="151"/>
      <c r="BB16" s="151"/>
      <c r="BC16" s="151"/>
      <c r="BD16" s="151"/>
      <c r="BE16" s="151"/>
      <c r="BF16" s="151"/>
      <c r="BG16" s="151"/>
      <c r="BH16" s="151"/>
      <c r="BI16" s="151"/>
      <c r="BJ16" s="151"/>
      <c r="BK16" s="151"/>
      <c r="BL16" s="151"/>
      <c r="BM16" s="151"/>
      <c r="BN16" s="151"/>
      <c r="BO16" s="151"/>
      <c r="BP16" s="151"/>
      <c r="BQ16" s="151"/>
      <c r="BR16" s="151"/>
    </row>
    <row r="17" s="75" customFormat="true" ht="15" hidden="false" customHeight="false" outlineLevel="0" collapsed="false">
      <c r="A17" s="141" t="s">
        <v>89</v>
      </c>
      <c r="B17" s="142" t="s">
        <v>1090</v>
      </c>
      <c r="C17" s="143" t="s">
        <v>1094</v>
      </c>
      <c r="D17" s="144"/>
      <c r="E17" s="144"/>
      <c r="F17" s="144"/>
      <c r="G17" s="145"/>
      <c r="H17" s="146" t="s">
        <v>81</v>
      </c>
      <c r="I17" s="147" t="s">
        <v>88</v>
      </c>
      <c r="J17" s="148" t="s">
        <v>81</v>
      </c>
      <c r="K17" s="149" t="s">
        <v>88</v>
      </c>
      <c r="L17" s="150" t="s">
        <v>1092</v>
      </c>
      <c r="M17" s="150" t="s">
        <v>1093</v>
      </c>
      <c r="N17" s="150" t="s">
        <v>1095</v>
      </c>
      <c r="O17" s="150" t="s">
        <v>1096</v>
      </c>
      <c r="P17" s="150" t="s">
        <v>1097</v>
      </c>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1"/>
      <c r="AZ17" s="151"/>
      <c r="BA17" s="151"/>
      <c r="BB17" s="151"/>
      <c r="BC17" s="151"/>
      <c r="BD17" s="151"/>
      <c r="BE17" s="151"/>
      <c r="BF17" s="151"/>
      <c r="BG17" s="151"/>
      <c r="BH17" s="151"/>
      <c r="BI17" s="151"/>
      <c r="BJ17" s="151"/>
      <c r="BK17" s="151"/>
      <c r="BL17" s="151"/>
      <c r="BM17" s="151"/>
      <c r="BN17" s="151"/>
      <c r="BO17" s="151"/>
      <c r="BP17" s="151"/>
      <c r="BQ17" s="151"/>
      <c r="BR17" s="151"/>
    </row>
    <row r="18" s="75" customFormat="true" ht="15" hidden="false" customHeight="false" outlineLevel="0" collapsed="false">
      <c r="A18" s="141"/>
      <c r="B18" s="142"/>
      <c r="C18" s="143"/>
      <c r="D18" s="144"/>
      <c r="E18" s="144"/>
      <c r="F18" s="144"/>
      <c r="G18" s="145"/>
      <c r="H18" s="146"/>
      <c r="I18" s="147"/>
      <c r="J18" s="148"/>
      <c r="K18" s="149"/>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1"/>
      <c r="AZ18" s="151"/>
      <c r="BA18" s="151"/>
      <c r="BB18" s="151"/>
      <c r="BC18" s="151"/>
      <c r="BD18" s="151"/>
      <c r="BE18" s="151"/>
      <c r="BF18" s="151"/>
      <c r="BG18" s="151"/>
      <c r="BH18" s="151"/>
      <c r="BI18" s="151"/>
      <c r="BJ18" s="151"/>
      <c r="BK18" s="151"/>
      <c r="BL18" s="151"/>
      <c r="BM18" s="151"/>
      <c r="BN18" s="151"/>
      <c r="BO18" s="151"/>
      <c r="BP18" s="151"/>
      <c r="BQ18" s="151"/>
      <c r="BR18" s="151"/>
    </row>
    <row r="19" s="140" customFormat="true" ht="30" hidden="false" customHeight="false" outlineLevel="0" collapsed="false">
      <c r="A19" s="129" t="s">
        <v>91</v>
      </c>
      <c r="B19" s="130" t="s">
        <v>1098</v>
      </c>
      <c r="C19" s="131" t="s">
        <v>92</v>
      </c>
      <c r="D19" s="132"/>
      <c r="E19" s="132"/>
      <c r="F19" s="132"/>
      <c r="G19" s="133"/>
      <c r="H19" s="134" t="s">
        <v>1099</v>
      </c>
      <c r="I19" s="135" t="s">
        <v>88</v>
      </c>
      <c r="J19" s="136" t="s">
        <v>81</v>
      </c>
      <c r="K19" s="137" t="s">
        <v>1100</v>
      </c>
      <c r="L19" s="138"/>
      <c r="M19" s="138"/>
      <c r="N19" s="138"/>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9"/>
      <c r="AZ19" s="139"/>
      <c r="BA19" s="139"/>
      <c r="BB19" s="139"/>
      <c r="BC19" s="139"/>
      <c r="BD19" s="139"/>
      <c r="BE19" s="139"/>
      <c r="BF19" s="139"/>
      <c r="BG19" s="139"/>
      <c r="BH19" s="139"/>
      <c r="BI19" s="139"/>
      <c r="BJ19" s="139"/>
      <c r="BK19" s="139"/>
      <c r="BL19" s="139"/>
      <c r="BM19" s="139"/>
      <c r="BN19" s="139"/>
      <c r="BO19" s="139"/>
      <c r="BP19" s="139"/>
      <c r="BQ19" s="139"/>
      <c r="BR19" s="139"/>
    </row>
    <row r="20" s="140" customFormat="true" ht="30" hidden="false" customHeight="false" outlineLevel="0" collapsed="false">
      <c r="A20" s="129" t="s">
        <v>94</v>
      </c>
      <c r="B20" s="130" t="s">
        <v>1090</v>
      </c>
      <c r="C20" s="131" t="s">
        <v>95</v>
      </c>
      <c r="D20" s="132"/>
      <c r="E20" s="132"/>
      <c r="F20" s="132"/>
      <c r="G20" s="133"/>
      <c r="H20" s="134" t="s">
        <v>1099</v>
      </c>
      <c r="I20" s="135" t="s">
        <v>88</v>
      </c>
      <c r="J20" s="136" t="s">
        <v>81</v>
      </c>
      <c r="K20" s="137" t="s">
        <v>96</v>
      </c>
      <c r="L20" s="138" t="s">
        <v>1101</v>
      </c>
      <c r="M20" s="138" t="s">
        <v>1102</v>
      </c>
      <c r="N20" s="138" t="s">
        <v>1103</v>
      </c>
      <c r="O20" s="138" t="s">
        <v>1104</v>
      </c>
      <c r="P20" s="138" t="s">
        <v>1105</v>
      </c>
      <c r="Q20" s="138" t="s">
        <v>1106</v>
      </c>
      <c r="R20" s="138" t="s">
        <v>1107</v>
      </c>
      <c r="S20" s="138" t="s">
        <v>1108</v>
      </c>
      <c r="T20" s="138" t="s">
        <v>1109</v>
      </c>
      <c r="U20" s="138" t="s">
        <v>1110</v>
      </c>
      <c r="V20" s="138" t="s">
        <v>1111</v>
      </c>
      <c r="W20" s="138" t="s">
        <v>1112</v>
      </c>
      <c r="X20" s="138" t="s">
        <v>1113</v>
      </c>
      <c r="Y20" s="138" t="s">
        <v>1114</v>
      </c>
      <c r="Z20" s="138" t="s">
        <v>1115</v>
      </c>
      <c r="AA20" s="138" t="s">
        <v>1116</v>
      </c>
      <c r="AB20" s="138"/>
      <c r="AC20" s="138"/>
      <c r="AD20" s="138"/>
      <c r="AE20" s="138"/>
      <c r="AF20" s="138"/>
      <c r="AG20" s="138"/>
      <c r="AH20" s="138"/>
      <c r="AI20" s="138"/>
      <c r="AJ20" s="138"/>
      <c r="AK20" s="138"/>
      <c r="AL20" s="138"/>
      <c r="AM20" s="138"/>
      <c r="AN20" s="138"/>
      <c r="AO20" s="138"/>
      <c r="AP20" s="138"/>
      <c r="AQ20" s="138"/>
      <c r="AR20" s="138"/>
      <c r="AS20" s="138"/>
      <c r="AT20" s="138"/>
      <c r="AU20" s="138"/>
      <c r="AV20" s="138"/>
      <c r="AW20" s="138"/>
      <c r="AX20" s="138"/>
      <c r="AY20" s="139"/>
      <c r="AZ20" s="139"/>
      <c r="BA20" s="139"/>
      <c r="BB20" s="139"/>
      <c r="BC20" s="139"/>
      <c r="BD20" s="139"/>
      <c r="BE20" s="139"/>
      <c r="BF20" s="139"/>
      <c r="BG20" s="139"/>
      <c r="BH20" s="139"/>
      <c r="BI20" s="139"/>
      <c r="BJ20" s="139"/>
      <c r="BK20" s="139"/>
      <c r="BL20" s="139"/>
      <c r="BM20" s="139"/>
      <c r="BN20" s="139"/>
      <c r="BO20" s="139"/>
      <c r="BP20" s="139"/>
      <c r="BQ20" s="139"/>
      <c r="BR20" s="139"/>
    </row>
    <row r="21" s="75" customFormat="true" ht="30" hidden="false" customHeight="false" outlineLevel="0" collapsed="false">
      <c r="A21" s="141" t="s">
        <v>97</v>
      </c>
      <c r="B21" s="142" t="s">
        <v>1098</v>
      </c>
      <c r="C21" s="143" t="s">
        <v>98</v>
      </c>
      <c r="D21" s="144"/>
      <c r="E21" s="144"/>
      <c r="F21" s="144"/>
      <c r="G21" s="145"/>
      <c r="H21" s="146" t="s">
        <v>81</v>
      </c>
      <c r="I21" s="147" t="s">
        <v>1117</v>
      </c>
      <c r="J21" s="148" t="s">
        <v>81</v>
      </c>
      <c r="K21" s="149" t="s">
        <v>1117</v>
      </c>
      <c r="L21" s="150"/>
      <c r="M21" s="150"/>
      <c r="N21" s="150"/>
      <c r="O21" s="150"/>
      <c r="P21" s="150"/>
      <c r="Q21" s="150"/>
      <c r="R21" s="150"/>
      <c r="S21" s="150"/>
      <c r="T21" s="150"/>
      <c r="U21" s="150"/>
      <c r="V21" s="150"/>
      <c r="W21" s="150"/>
      <c r="X21" s="150"/>
      <c r="Y21" s="150"/>
      <c r="Z21" s="150"/>
      <c r="AA21" s="150"/>
      <c r="AB21" s="150"/>
      <c r="AC21" s="150"/>
      <c r="AD21" s="150"/>
      <c r="AE21" s="150"/>
      <c r="AF21" s="150"/>
      <c r="AG21" s="150"/>
      <c r="AH21" s="150"/>
      <c r="AI21" s="150"/>
      <c r="AJ21" s="150"/>
      <c r="AK21" s="150"/>
      <c r="AL21" s="150"/>
      <c r="AM21" s="150"/>
      <c r="AN21" s="150"/>
      <c r="AO21" s="150"/>
      <c r="AP21" s="150"/>
      <c r="AQ21" s="150"/>
      <c r="AR21" s="150"/>
      <c r="AS21" s="150"/>
      <c r="AT21" s="150"/>
      <c r="AU21" s="150"/>
      <c r="AV21" s="150"/>
      <c r="AW21" s="150"/>
      <c r="AX21" s="150"/>
      <c r="AY21" s="151"/>
      <c r="AZ21" s="151"/>
      <c r="BA21" s="151"/>
      <c r="BB21" s="151"/>
      <c r="BC21" s="151"/>
      <c r="BD21" s="151"/>
      <c r="BE21" s="151"/>
      <c r="BF21" s="151"/>
      <c r="BG21" s="151"/>
      <c r="BH21" s="151"/>
      <c r="BI21" s="151"/>
      <c r="BJ21" s="151"/>
      <c r="BK21" s="151"/>
      <c r="BL21" s="151"/>
      <c r="BM21" s="151"/>
      <c r="BN21" s="151"/>
      <c r="BO21" s="151"/>
      <c r="BP21" s="151"/>
      <c r="BQ21" s="151"/>
      <c r="BR21" s="151"/>
    </row>
    <row r="22" s="75" customFormat="true" ht="30" hidden="false" customHeight="false" outlineLevel="0" collapsed="false">
      <c r="A22" s="141" t="s">
        <v>99</v>
      </c>
      <c r="B22" s="142" t="s">
        <v>1098</v>
      </c>
      <c r="C22" s="143" t="s">
        <v>100</v>
      </c>
      <c r="D22" s="144"/>
      <c r="E22" s="144"/>
      <c r="F22" s="144"/>
      <c r="G22" s="145"/>
      <c r="H22" s="146" t="s">
        <v>81</v>
      </c>
      <c r="I22" s="147" t="s">
        <v>1117</v>
      </c>
      <c r="J22" s="148" t="s">
        <v>81</v>
      </c>
      <c r="K22" s="149" t="s">
        <v>1117</v>
      </c>
      <c r="L22" s="150"/>
      <c r="M22" s="150"/>
      <c r="N22" s="150"/>
      <c r="O22" s="150"/>
      <c r="P22" s="150"/>
      <c r="Q22" s="150"/>
      <c r="R22" s="150"/>
      <c r="S22" s="150"/>
      <c r="T22" s="150"/>
      <c r="U22" s="150"/>
      <c r="V22" s="150"/>
      <c r="W22" s="150"/>
      <c r="X22" s="150"/>
      <c r="Y22" s="150"/>
      <c r="Z22" s="150"/>
      <c r="AA22" s="150"/>
      <c r="AB22" s="150"/>
      <c r="AC22" s="150"/>
      <c r="AD22" s="150"/>
      <c r="AE22" s="150"/>
      <c r="AF22" s="150"/>
      <c r="AG22" s="150"/>
      <c r="AH22" s="150"/>
      <c r="AI22" s="150"/>
      <c r="AJ22" s="150"/>
      <c r="AK22" s="150"/>
      <c r="AL22" s="150"/>
      <c r="AM22" s="150"/>
      <c r="AN22" s="150"/>
      <c r="AO22" s="150"/>
      <c r="AP22" s="150"/>
      <c r="AQ22" s="150"/>
      <c r="AR22" s="150"/>
      <c r="AS22" s="150"/>
      <c r="AT22" s="150"/>
      <c r="AU22" s="150"/>
      <c r="AV22" s="150"/>
      <c r="AW22" s="150"/>
      <c r="AX22" s="150"/>
      <c r="AY22" s="151"/>
      <c r="AZ22" s="151"/>
      <c r="BA22" s="151"/>
      <c r="BB22" s="151"/>
      <c r="BC22" s="151"/>
      <c r="BD22" s="151"/>
      <c r="BE22" s="151"/>
      <c r="BF22" s="151"/>
      <c r="BG22" s="151"/>
      <c r="BH22" s="151"/>
      <c r="BI22" s="151"/>
      <c r="BJ22" s="151"/>
      <c r="BK22" s="151"/>
      <c r="BL22" s="151"/>
      <c r="BM22" s="151"/>
      <c r="BN22" s="151"/>
      <c r="BO22" s="151"/>
      <c r="BP22" s="151"/>
      <c r="BQ22" s="151"/>
      <c r="BR22" s="151"/>
    </row>
    <row r="23" s="75" customFormat="true" ht="15" hidden="false" customHeight="false" outlineLevel="0" collapsed="false">
      <c r="A23" s="141"/>
      <c r="B23" s="142"/>
      <c r="C23" s="143"/>
      <c r="D23" s="144"/>
      <c r="E23" s="144"/>
      <c r="F23" s="144"/>
      <c r="G23" s="145"/>
      <c r="H23" s="146"/>
      <c r="I23" s="147"/>
      <c r="J23" s="148"/>
      <c r="K23" s="149"/>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1"/>
      <c r="AZ23" s="151"/>
      <c r="BA23" s="151"/>
      <c r="BB23" s="151"/>
      <c r="BC23" s="151"/>
      <c r="BD23" s="151"/>
      <c r="BE23" s="151"/>
      <c r="BF23" s="151"/>
      <c r="BG23" s="151"/>
      <c r="BH23" s="151"/>
      <c r="BI23" s="151"/>
      <c r="BJ23" s="151"/>
      <c r="BK23" s="151"/>
      <c r="BL23" s="151"/>
      <c r="BM23" s="151"/>
      <c r="BN23" s="151"/>
      <c r="BO23" s="151"/>
      <c r="BP23" s="151"/>
      <c r="BQ23" s="151"/>
      <c r="BR23" s="151"/>
    </row>
    <row r="24" s="75" customFormat="true" ht="30" hidden="false" customHeight="false" outlineLevel="0" collapsed="false">
      <c r="A24" s="141" t="s">
        <v>102</v>
      </c>
      <c r="B24" s="142" t="s">
        <v>1118</v>
      </c>
      <c r="C24" s="143" t="s">
        <v>1119</v>
      </c>
      <c r="D24" s="144"/>
      <c r="E24" s="144"/>
      <c r="F24" s="144"/>
      <c r="G24" s="145"/>
      <c r="H24" s="146" t="s">
        <v>81</v>
      </c>
      <c r="I24" s="147" t="s">
        <v>88</v>
      </c>
      <c r="J24" s="148" t="s">
        <v>81</v>
      </c>
      <c r="K24" s="149" t="s">
        <v>88</v>
      </c>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1"/>
      <c r="AZ24" s="151"/>
      <c r="BA24" s="151"/>
      <c r="BB24" s="151"/>
      <c r="BC24" s="151"/>
      <c r="BD24" s="151"/>
      <c r="BE24" s="151"/>
      <c r="BF24" s="151"/>
      <c r="BG24" s="151"/>
      <c r="BH24" s="151"/>
      <c r="BI24" s="151"/>
      <c r="BJ24" s="151"/>
      <c r="BK24" s="151"/>
      <c r="BL24" s="151"/>
      <c r="BM24" s="151"/>
      <c r="BN24" s="151"/>
      <c r="BO24" s="151"/>
      <c r="BP24" s="151"/>
      <c r="BQ24" s="151"/>
      <c r="BR24" s="151"/>
    </row>
    <row r="25" s="140" customFormat="true" ht="15" hidden="false" customHeight="false" outlineLevel="0" collapsed="false">
      <c r="A25" s="129" t="s">
        <v>112</v>
      </c>
      <c r="B25" s="130" t="s">
        <v>1118</v>
      </c>
      <c r="C25" s="131" t="s">
        <v>113</v>
      </c>
      <c r="D25" s="132"/>
      <c r="E25" s="132"/>
      <c r="F25" s="132"/>
      <c r="G25" s="133"/>
      <c r="H25" s="134" t="s">
        <v>81</v>
      </c>
      <c r="I25" s="135" t="s">
        <v>88</v>
      </c>
      <c r="J25" s="136" t="s">
        <v>81</v>
      </c>
      <c r="K25" s="137" t="s">
        <v>88</v>
      </c>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9"/>
      <c r="AZ25" s="139"/>
      <c r="BA25" s="139"/>
      <c r="BB25" s="139"/>
      <c r="BC25" s="139"/>
      <c r="BD25" s="139"/>
      <c r="BE25" s="139"/>
      <c r="BF25" s="139"/>
      <c r="BG25" s="139"/>
      <c r="BH25" s="139"/>
      <c r="BI25" s="139"/>
      <c r="BJ25" s="139"/>
      <c r="BK25" s="139"/>
      <c r="BL25" s="139"/>
      <c r="BM25" s="139"/>
      <c r="BN25" s="139"/>
      <c r="BO25" s="139"/>
      <c r="BP25" s="139"/>
      <c r="BQ25" s="139"/>
      <c r="BR25" s="139"/>
    </row>
    <row r="26" s="140" customFormat="true" ht="30" hidden="false" customHeight="false" outlineLevel="0" collapsed="false">
      <c r="A26" s="129" t="s">
        <v>114</v>
      </c>
      <c r="B26" s="130" t="s">
        <v>1118</v>
      </c>
      <c r="C26" s="131" t="s">
        <v>115</v>
      </c>
      <c r="D26" s="132"/>
      <c r="E26" s="132"/>
      <c r="F26" s="132"/>
      <c r="G26" s="133"/>
      <c r="H26" s="134" t="s">
        <v>81</v>
      </c>
      <c r="I26" s="135" t="s">
        <v>88</v>
      </c>
      <c r="J26" s="136" t="s">
        <v>81</v>
      </c>
      <c r="K26" s="137" t="s">
        <v>88</v>
      </c>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9"/>
      <c r="AZ26" s="139"/>
      <c r="BA26" s="139"/>
      <c r="BB26" s="139"/>
      <c r="BC26" s="139"/>
      <c r="BD26" s="139"/>
      <c r="BE26" s="139"/>
      <c r="BF26" s="139"/>
      <c r="BG26" s="139"/>
      <c r="BH26" s="139"/>
      <c r="BI26" s="139"/>
      <c r="BJ26" s="139"/>
      <c r="BK26" s="139"/>
      <c r="BL26" s="139"/>
      <c r="BM26" s="139"/>
      <c r="BN26" s="139"/>
      <c r="BO26" s="139"/>
      <c r="BP26" s="139"/>
      <c r="BQ26" s="139"/>
      <c r="BR26" s="139"/>
    </row>
    <row r="27" s="75" customFormat="true" ht="15" hidden="false" customHeight="false" outlineLevel="0" collapsed="false">
      <c r="A27" s="141"/>
      <c r="B27" s="142"/>
      <c r="C27" s="143"/>
      <c r="D27" s="144"/>
      <c r="E27" s="144"/>
      <c r="F27" s="144"/>
      <c r="G27" s="145"/>
      <c r="H27" s="146"/>
      <c r="I27" s="147"/>
      <c r="J27" s="148"/>
      <c r="K27" s="149"/>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c r="AK27" s="150"/>
      <c r="AL27" s="150"/>
      <c r="AM27" s="150"/>
      <c r="AN27" s="150"/>
      <c r="AO27" s="150"/>
      <c r="AP27" s="150"/>
      <c r="AQ27" s="150"/>
      <c r="AR27" s="150"/>
      <c r="AS27" s="150"/>
      <c r="AT27" s="150"/>
      <c r="AU27" s="150"/>
      <c r="AV27" s="150"/>
      <c r="AW27" s="150"/>
      <c r="AX27" s="150"/>
      <c r="AY27" s="151"/>
      <c r="AZ27" s="151"/>
      <c r="BA27" s="151"/>
      <c r="BB27" s="151"/>
      <c r="BC27" s="151"/>
      <c r="BD27" s="151"/>
      <c r="BE27" s="151"/>
      <c r="BF27" s="151"/>
      <c r="BG27" s="151"/>
      <c r="BH27" s="151"/>
      <c r="BI27" s="151"/>
      <c r="BJ27" s="151"/>
      <c r="BK27" s="151"/>
      <c r="BL27" s="151"/>
      <c r="BM27" s="151"/>
      <c r="BN27" s="151"/>
      <c r="BO27" s="151"/>
      <c r="BP27" s="151"/>
      <c r="BQ27" s="151"/>
      <c r="BR27" s="151"/>
    </row>
    <row r="28" s="140" customFormat="true" ht="15" hidden="false" customHeight="false" outlineLevel="0" collapsed="false">
      <c r="A28" s="129" t="s">
        <v>116</v>
      </c>
      <c r="B28" s="130" t="s">
        <v>1090</v>
      </c>
      <c r="C28" s="131" t="s">
        <v>1120</v>
      </c>
      <c r="D28" s="132"/>
      <c r="E28" s="132"/>
      <c r="F28" s="132"/>
      <c r="G28" s="133"/>
      <c r="H28" s="134" t="s">
        <v>81</v>
      </c>
      <c r="I28" s="135" t="s">
        <v>88</v>
      </c>
      <c r="J28" s="136" t="s">
        <v>81</v>
      </c>
      <c r="K28" s="137" t="s">
        <v>88</v>
      </c>
      <c r="L28" s="138" t="s">
        <v>1121</v>
      </c>
      <c r="M28" s="138" t="s">
        <v>1122</v>
      </c>
      <c r="N28" s="138" t="s">
        <v>1123</v>
      </c>
      <c r="O28" s="138" t="s">
        <v>1124</v>
      </c>
      <c r="P28" s="138" t="s">
        <v>1125</v>
      </c>
      <c r="Q28" s="138"/>
      <c r="R28" s="138"/>
      <c r="S28" s="138"/>
      <c r="T28" s="138"/>
      <c r="U28" s="138"/>
      <c r="V28" s="138"/>
      <c r="W28" s="138"/>
      <c r="X28" s="138"/>
      <c r="Y28" s="138"/>
      <c r="Z28" s="138"/>
      <c r="AA28" s="138"/>
      <c r="AB28" s="138"/>
      <c r="AC28" s="138"/>
      <c r="AD28" s="138"/>
      <c r="AE28" s="138"/>
      <c r="AF28" s="138"/>
      <c r="AG28" s="138"/>
      <c r="AH28" s="138"/>
      <c r="AI28" s="138"/>
      <c r="AJ28" s="138"/>
      <c r="AK28" s="138"/>
      <c r="AL28" s="138"/>
      <c r="AM28" s="138"/>
      <c r="AN28" s="138"/>
      <c r="AO28" s="138"/>
      <c r="AP28" s="138"/>
      <c r="AQ28" s="138"/>
      <c r="AR28" s="138"/>
      <c r="AS28" s="138"/>
      <c r="AT28" s="138"/>
      <c r="AU28" s="138"/>
      <c r="AV28" s="138"/>
      <c r="AW28" s="138"/>
      <c r="AX28" s="138"/>
      <c r="AY28" s="139"/>
      <c r="AZ28" s="139"/>
      <c r="BA28" s="139"/>
      <c r="BB28" s="139"/>
      <c r="BC28" s="139"/>
      <c r="BD28" s="139"/>
      <c r="BE28" s="139"/>
      <c r="BF28" s="139"/>
      <c r="BG28" s="139"/>
      <c r="BH28" s="139"/>
      <c r="BI28" s="139"/>
      <c r="BJ28" s="139"/>
      <c r="BK28" s="139"/>
      <c r="BL28" s="139"/>
      <c r="BM28" s="139"/>
      <c r="BN28" s="139"/>
      <c r="BO28" s="139"/>
      <c r="BP28" s="139"/>
      <c r="BQ28" s="139"/>
      <c r="BR28" s="139"/>
    </row>
    <row r="29" s="75" customFormat="true" ht="15" hidden="false" customHeight="false" outlineLevel="0" collapsed="false">
      <c r="A29" s="141"/>
      <c r="B29" s="142"/>
      <c r="C29" s="143"/>
      <c r="D29" s="144"/>
      <c r="E29" s="144"/>
      <c r="F29" s="144"/>
      <c r="G29" s="145"/>
      <c r="H29" s="146"/>
      <c r="I29" s="147"/>
      <c r="J29" s="148"/>
      <c r="K29" s="149"/>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150"/>
      <c r="AN29" s="150"/>
      <c r="AO29" s="150"/>
      <c r="AP29" s="150"/>
      <c r="AQ29" s="150"/>
      <c r="AR29" s="150"/>
      <c r="AS29" s="150"/>
      <c r="AT29" s="150"/>
      <c r="AU29" s="150"/>
      <c r="AV29" s="150"/>
      <c r="AW29" s="150"/>
      <c r="AX29" s="150"/>
      <c r="AY29" s="151"/>
      <c r="AZ29" s="151"/>
      <c r="BA29" s="151"/>
      <c r="BB29" s="151"/>
      <c r="BC29" s="151"/>
      <c r="BD29" s="151"/>
      <c r="BE29" s="151"/>
      <c r="BF29" s="151"/>
      <c r="BG29" s="151"/>
      <c r="BH29" s="151"/>
      <c r="BI29" s="151"/>
      <c r="BJ29" s="151"/>
      <c r="BK29" s="151"/>
      <c r="BL29" s="151"/>
      <c r="BM29" s="151"/>
      <c r="BN29" s="151"/>
      <c r="BO29" s="151"/>
      <c r="BP29" s="151"/>
      <c r="BQ29" s="151"/>
      <c r="BR29" s="151"/>
    </row>
    <row r="30" s="75" customFormat="true" ht="15" hidden="false" customHeight="false" outlineLevel="0" collapsed="false">
      <c r="A30" s="141" t="s">
        <v>117</v>
      </c>
      <c r="B30" s="142" t="s">
        <v>1090</v>
      </c>
      <c r="C30" s="143" t="s">
        <v>1126</v>
      </c>
      <c r="D30" s="144"/>
      <c r="E30" s="144"/>
      <c r="F30" s="144"/>
      <c r="G30" s="145"/>
      <c r="H30" s="146" t="s">
        <v>81</v>
      </c>
      <c r="I30" s="147" t="s">
        <v>88</v>
      </c>
      <c r="J30" s="148" t="s">
        <v>81</v>
      </c>
      <c r="K30" s="149" t="s">
        <v>88</v>
      </c>
      <c r="L30" s="150" t="s">
        <v>1127</v>
      </c>
      <c r="M30" s="150" t="s">
        <v>1128</v>
      </c>
      <c r="N30" s="150" t="s">
        <v>1129</v>
      </c>
      <c r="O30" s="150" t="s">
        <v>1130</v>
      </c>
      <c r="P30" s="150" t="s">
        <v>1097</v>
      </c>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150"/>
      <c r="AN30" s="150"/>
      <c r="AO30" s="150"/>
      <c r="AP30" s="150"/>
      <c r="AQ30" s="150"/>
      <c r="AR30" s="150"/>
      <c r="AS30" s="150"/>
      <c r="AT30" s="150"/>
      <c r="AU30" s="150"/>
      <c r="AV30" s="150"/>
      <c r="AW30" s="150"/>
      <c r="AX30" s="150"/>
      <c r="AY30" s="151"/>
      <c r="AZ30" s="151"/>
      <c r="BA30" s="151"/>
      <c r="BB30" s="151"/>
      <c r="BC30" s="151"/>
      <c r="BD30" s="151"/>
      <c r="BE30" s="151"/>
      <c r="BF30" s="151"/>
      <c r="BG30" s="151"/>
      <c r="BH30" s="151"/>
      <c r="BI30" s="151"/>
      <c r="BJ30" s="151"/>
      <c r="BK30" s="151"/>
      <c r="BL30" s="151"/>
      <c r="BM30" s="151"/>
      <c r="BN30" s="151"/>
      <c r="BO30" s="151"/>
      <c r="BP30" s="151"/>
      <c r="BQ30" s="151"/>
      <c r="BR30" s="151"/>
    </row>
    <row r="31" s="75" customFormat="true" ht="15" hidden="false" customHeight="false" outlineLevel="0" collapsed="false">
      <c r="A31" s="141"/>
      <c r="B31" s="142"/>
      <c r="C31" s="143"/>
      <c r="D31" s="144"/>
      <c r="E31" s="144"/>
      <c r="F31" s="144"/>
      <c r="G31" s="145"/>
      <c r="H31" s="146"/>
      <c r="I31" s="147"/>
      <c r="J31" s="148"/>
      <c r="K31" s="149"/>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50"/>
      <c r="AK31" s="150"/>
      <c r="AL31" s="150"/>
      <c r="AM31" s="150"/>
      <c r="AN31" s="150"/>
      <c r="AO31" s="150"/>
      <c r="AP31" s="150"/>
      <c r="AQ31" s="150"/>
      <c r="AR31" s="150"/>
      <c r="AS31" s="150"/>
      <c r="AT31" s="150"/>
      <c r="AU31" s="150"/>
      <c r="AV31" s="150"/>
      <c r="AW31" s="150"/>
      <c r="AX31" s="150"/>
      <c r="AY31" s="151"/>
      <c r="AZ31" s="151"/>
      <c r="BA31" s="151"/>
      <c r="BB31" s="151"/>
      <c r="BC31" s="151"/>
      <c r="BD31" s="151"/>
      <c r="BE31" s="151"/>
      <c r="BF31" s="151"/>
      <c r="BG31" s="151"/>
      <c r="BH31" s="151"/>
      <c r="BI31" s="151"/>
      <c r="BJ31" s="151"/>
      <c r="BK31" s="151"/>
      <c r="BL31" s="151"/>
      <c r="BM31" s="151"/>
      <c r="BN31" s="151"/>
      <c r="BO31" s="151"/>
      <c r="BP31" s="151"/>
      <c r="BQ31" s="151"/>
      <c r="BR31" s="151"/>
    </row>
    <row r="32" s="75" customFormat="true" ht="30" hidden="false" customHeight="false" outlineLevel="0" collapsed="false">
      <c r="A32" s="141" t="s">
        <v>119</v>
      </c>
      <c r="B32" s="142" t="s">
        <v>1090</v>
      </c>
      <c r="C32" s="143" t="s">
        <v>1131</v>
      </c>
      <c r="D32" s="144"/>
      <c r="E32" s="144"/>
      <c r="F32" s="144"/>
      <c r="G32" s="145"/>
      <c r="H32" s="146" t="s">
        <v>81</v>
      </c>
      <c r="I32" s="147" t="s">
        <v>88</v>
      </c>
      <c r="J32" s="148" t="s">
        <v>81</v>
      </c>
      <c r="K32" s="149" t="s">
        <v>88</v>
      </c>
      <c r="L32" s="150" t="s">
        <v>1132</v>
      </c>
      <c r="M32" s="150" t="s">
        <v>1133</v>
      </c>
      <c r="N32" s="150" t="s">
        <v>1134</v>
      </c>
      <c r="O32" s="150" t="s">
        <v>1135</v>
      </c>
      <c r="P32" s="150" t="s">
        <v>1097</v>
      </c>
      <c r="Q32" s="150"/>
      <c r="R32" s="150"/>
      <c r="S32" s="150"/>
      <c r="T32" s="150"/>
      <c r="U32" s="150"/>
      <c r="V32" s="150"/>
      <c r="W32" s="150"/>
      <c r="X32" s="150"/>
      <c r="Y32" s="150"/>
      <c r="Z32" s="150"/>
      <c r="AA32" s="150"/>
      <c r="AB32" s="150"/>
      <c r="AC32" s="150"/>
      <c r="AD32" s="150"/>
      <c r="AE32" s="150"/>
      <c r="AF32" s="150"/>
      <c r="AG32" s="150"/>
      <c r="AH32" s="150"/>
      <c r="AI32" s="150"/>
      <c r="AJ32" s="150"/>
      <c r="AK32" s="150"/>
      <c r="AL32" s="150"/>
      <c r="AM32" s="150"/>
      <c r="AN32" s="150"/>
      <c r="AO32" s="150"/>
      <c r="AP32" s="150"/>
      <c r="AQ32" s="150"/>
      <c r="AR32" s="150"/>
      <c r="AS32" s="150"/>
      <c r="AT32" s="150"/>
      <c r="AU32" s="150"/>
      <c r="AV32" s="150"/>
      <c r="AW32" s="150"/>
      <c r="AX32" s="150"/>
      <c r="AY32" s="151"/>
      <c r="AZ32" s="151"/>
      <c r="BA32" s="151"/>
      <c r="BB32" s="151"/>
      <c r="BC32" s="151"/>
      <c r="BD32" s="151"/>
      <c r="BE32" s="151"/>
      <c r="BF32" s="151"/>
      <c r="BG32" s="151"/>
      <c r="BH32" s="151"/>
      <c r="BI32" s="151"/>
      <c r="BJ32" s="151"/>
      <c r="BK32" s="151"/>
      <c r="BL32" s="151"/>
      <c r="BM32" s="151"/>
      <c r="BN32" s="151"/>
      <c r="BO32" s="151"/>
      <c r="BP32" s="151"/>
      <c r="BQ32" s="151"/>
      <c r="BR32" s="151"/>
    </row>
    <row r="33" s="75" customFormat="true" ht="15" hidden="false" customHeight="false" outlineLevel="0" collapsed="false">
      <c r="A33" s="141"/>
      <c r="B33" s="142"/>
      <c r="C33" s="143"/>
      <c r="D33" s="144"/>
      <c r="E33" s="144"/>
      <c r="F33" s="144"/>
      <c r="G33" s="145"/>
      <c r="H33" s="146"/>
      <c r="I33" s="147"/>
      <c r="J33" s="148"/>
      <c r="K33" s="149"/>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0"/>
      <c r="AK33" s="150"/>
      <c r="AL33" s="150"/>
      <c r="AM33" s="150"/>
      <c r="AN33" s="150"/>
      <c r="AO33" s="150"/>
      <c r="AP33" s="150"/>
      <c r="AQ33" s="150"/>
      <c r="AR33" s="150"/>
      <c r="AS33" s="150"/>
      <c r="AT33" s="150"/>
      <c r="AU33" s="150"/>
      <c r="AV33" s="150"/>
      <c r="AW33" s="150"/>
      <c r="AX33" s="150"/>
      <c r="AY33" s="151"/>
      <c r="AZ33" s="151"/>
      <c r="BA33" s="151"/>
      <c r="BB33" s="151"/>
      <c r="BC33" s="151"/>
      <c r="BD33" s="151"/>
      <c r="BE33" s="151"/>
      <c r="BF33" s="151"/>
      <c r="BG33" s="151"/>
      <c r="BH33" s="151"/>
      <c r="BI33" s="151"/>
      <c r="BJ33" s="151"/>
      <c r="BK33" s="151"/>
      <c r="BL33" s="151"/>
      <c r="BM33" s="151"/>
      <c r="BN33" s="151"/>
      <c r="BO33" s="151"/>
      <c r="BP33" s="151"/>
      <c r="BQ33" s="151"/>
      <c r="BR33" s="151"/>
    </row>
    <row r="34" s="75" customFormat="true" ht="30" hidden="false" customHeight="false" outlineLevel="0" collapsed="false">
      <c r="A34" s="141" t="s">
        <v>121</v>
      </c>
      <c r="B34" s="142" t="s">
        <v>1118</v>
      </c>
      <c r="C34" s="143" t="s">
        <v>1136</v>
      </c>
      <c r="D34" s="144"/>
      <c r="E34" s="144"/>
      <c r="F34" s="144"/>
      <c r="G34" s="145"/>
      <c r="H34" s="146" t="s">
        <v>81</v>
      </c>
      <c r="I34" s="147" t="s">
        <v>88</v>
      </c>
      <c r="J34" s="148" t="s">
        <v>81</v>
      </c>
      <c r="K34" s="149" t="s">
        <v>88</v>
      </c>
      <c r="L34" s="150"/>
      <c r="M34" s="150"/>
      <c r="N34" s="150"/>
      <c r="O34" s="150"/>
      <c r="P34" s="150"/>
      <c r="Q34" s="150"/>
      <c r="R34" s="150"/>
      <c r="S34" s="150"/>
      <c r="T34" s="150"/>
      <c r="U34" s="150"/>
      <c r="V34" s="150"/>
      <c r="W34" s="150"/>
      <c r="X34" s="150"/>
      <c r="Y34" s="150"/>
      <c r="Z34" s="150"/>
      <c r="AA34" s="150"/>
      <c r="AB34" s="150"/>
      <c r="AC34" s="150"/>
      <c r="AD34" s="150"/>
      <c r="AE34" s="150"/>
      <c r="AF34" s="150"/>
      <c r="AG34" s="150"/>
      <c r="AH34" s="150"/>
      <c r="AI34" s="150"/>
      <c r="AJ34" s="150"/>
      <c r="AK34" s="150"/>
      <c r="AL34" s="150"/>
      <c r="AM34" s="150"/>
      <c r="AN34" s="150"/>
      <c r="AO34" s="150"/>
      <c r="AP34" s="150"/>
      <c r="AQ34" s="150"/>
      <c r="AR34" s="150"/>
      <c r="AS34" s="150"/>
      <c r="AT34" s="150"/>
      <c r="AU34" s="150"/>
      <c r="AV34" s="150"/>
      <c r="AW34" s="150"/>
      <c r="AX34" s="150"/>
      <c r="AY34" s="151"/>
      <c r="AZ34" s="151"/>
      <c r="BA34" s="151"/>
      <c r="BB34" s="151"/>
      <c r="BC34" s="151"/>
      <c r="BD34" s="151"/>
      <c r="BE34" s="151"/>
      <c r="BF34" s="151"/>
      <c r="BG34" s="151"/>
      <c r="BH34" s="151"/>
      <c r="BI34" s="151"/>
      <c r="BJ34" s="151"/>
      <c r="BK34" s="151"/>
      <c r="BL34" s="151"/>
      <c r="BM34" s="151"/>
      <c r="BN34" s="151"/>
      <c r="BO34" s="151"/>
      <c r="BP34" s="151"/>
      <c r="BQ34" s="151"/>
      <c r="BR34" s="151"/>
    </row>
    <row r="35" s="140" customFormat="true" ht="15" hidden="false" customHeight="false" outlineLevel="0" collapsed="false">
      <c r="A35" s="129" t="s">
        <v>123</v>
      </c>
      <c r="B35" s="130" t="s">
        <v>1118</v>
      </c>
      <c r="C35" s="131" t="s">
        <v>124</v>
      </c>
      <c r="D35" s="132"/>
      <c r="E35" s="132"/>
      <c r="F35" s="132"/>
      <c r="G35" s="133"/>
      <c r="H35" s="134" t="s">
        <v>81</v>
      </c>
      <c r="I35" s="135" t="s">
        <v>88</v>
      </c>
      <c r="J35" s="136" t="s">
        <v>81</v>
      </c>
      <c r="K35" s="137" t="s">
        <v>88</v>
      </c>
      <c r="L35" s="138"/>
      <c r="M35" s="138"/>
      <c r="N35" s="138"/>
      <c r="O35" s="138"/>
      <c r="P35" s="138"/>
      <c r="Q35" s="138"/>
      <c r="R35" s="138"/>
      <c r="S35" s="138"/>
      <c r="T35" s="138"/>
      <c r="U35" s="138"/>
      <c r="V35" s="138"/>
      <c r="W35" s="138"/>
      <c r="X35" s="138"/>
      <c r="Y35" s="138"/>
      <c r="Z35" s="138"/>
      <c r="AA35" s="138"/>
      <c r="AB35" s="138"/>
      <c r="AC35" s="138"/>
      <c r="AD35" s="138"/>
      <c r="AE35" s="138"/>
      <c r="AF35" s="138"/>
      <c r="AG35" s="138"/>
      <c r="AH35" s="138"/>
      <c r="AI35" s="138"/>
      <c r="AJ35" s="138"/>
      <c r="AK35" s="138"/>
      <c r="AL35" s="138"/>
      <c r="AM35" s="138"/>
      <c r="AN35" s="138"/>
      <c r="AO35" s="138"/>
      <c r="AP35" s="138"/>
      <c r="AQ35" s="138"/>
      <c r="AR35" s="138"/>
      <c r="AS35" s="138"/>
      <c r="AT35" s="138"/>
      <c r="AU35" s="138"/>
      <c r="AV35" s="138"/>
      <c r="AW35" s="138"/>
      <c r="AX35" s="138"/>
      <c r="AY35" s="139"/>
      <c r="AZ35" s="139"/>
      <c r="BA35" s="139"/>
      <c r="BB35" s="139"/>
      <c r="BC35" s="139"/>
      <c r="BD35" s="139"/>
      <c r="BE35" s="139"/>
      <c r="BF35" s="139"/>
      <c r="BG35" s="139"/>
      <c r="BH35" s="139"/>
      <c r="BI35" s="139"/>
      <c r="BJ35" s="139"/>
      <c r="BK35" s="139"/>
      <c r="BL35" s="139"/>
      <c r="BM35" s="139"/>
      <c r="BN35" s="139"/>
      <c r="BO35" s="139"/>
      <c r="BP35" s="139"/>
      <c r="BQ35" s="139"/>
      <c r="BR35" s="139"/>
    </row>
    <row r="36" s="140" customFormat="true" ht="30" hidden="false" customHeight="false" outlineLevel="0" collapsed="false">
      <c r="A36" s="129" t="s">
        <v>125</v>
      </c>
      <c r="B36" s="130" t="s">
        <v>1118</v>
      </c>
      <c r="C36" s="131" t="s">
        <v>126</v>
      </c>
      <c r="D36" s="132"/>
      <c r="E36" s="132"/>
      <c r="F36" s="132"/>
      <c r="G36" s="133"/>
      <c r="H36" s="134" t="s">
        <v>81</v>
      </c>
      <c r="I36" s="135" t="s">
        <v>88</v>
      </c>
      <c r="J36" s="136" t="s">
        <v>81</v>
      </c>
      <c r="K36" s="137" t="s">
        <v>88</v>
      </c>
      <c r="L36" s="138"/>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8"/>
      <c r="AU36" s="138"/>
      <c r="AV36" s="138"/>
      <c r="AW36" s="138"/>
      <c r="AX36" s="138"/>
      <c r="AY36" s="139"/>
      <c r="AZ36" s="139"/>
      <c r="BA36" s="139"/>
      <c r="BB36" s="139"/>
      <c r="BC36" s="139"/>
      <c r="BD36" s="139"/>
      <c r="BE36" s="139"/>
      <c r="BF36" s="139"/>
      <c r="BG36" s="139"/>
      <c r="BH36" s="139"/>
      <c r="BI36" s="139"/>
      <c r="BJ36" s="139"/>
      <c r="BK36" s="139"/>
      <c r="BL36" s="139"/>
      <c r="BM36" s="139"/>
      <c r="BN36" s="139"/>
      <c r="BO36" s="139"/>
      <c r="BP36" s="139"/>
      <c r="BQ36" s="139"/>
      <c r="BR36" s="139"/>
    </row>
    <row r="37" s="75" customFormat="true" ht="15" hidden="false" customHeight="false" outlineLevel="0" collapsed="false">
      <c r="A37" s="141"/>
      <c r="B37" s="142"/>
      <c r="C37" s="143"/>
      <c r="D37" s="144"/>
      <c r="E37" s="144"/>
      <c r="F37" s="144"/>
      <c r="G37" s="145"/>
      <c r="H37" s="146"/>
      <c r="I37" s="147"/>
      <c r="J37" s="148"/>
      <c r="K37" s="149"/>
      <c r="L37" s="150"/>
      <c r="M37" s="150"/>
      <c r="N37" s="150"/>
      <c r="O37" s="150"/>
      <c r="P37" s="150"/>
      <c r="Q37" s="150"/>
      <c r="R37" s="150"/>
      <c r="S37" s="150"/>
      <c r="T37" s="150"/>
      <c r="U37" s="150"/>
      <c r="V37" s="150"/>
      <c r="W37" s="150"/>
      <c r="X37" s="150"/>
      <c r="Y37" s="150"/>
      <c r="Z37" s="150"/>
      <c r="AA37" s="150"/>
      <c r="AB37" s="150"/>
      <c r="AC37" s="150"/>
      <c r="AD37" s="150"/>
      <c r="AE37" s="150"/>
      <c r="AF37" s="150"/>
      <c r="AG37" s="150"/>
      <c r="AH37" s="150"/>
      <c r="AI37" s="150"/>
      <c r="AJ37" s="150"/>
      <c r="AK37" s="150"/>
      <c r="AL37" s="150"/>
      <c r="AM37" s="150"/>
      <c r="AN37" s="150"/>
      <c r="AO37" s="150"/>
      <c r="AP37" s="150"/>
      <c r="AQ37" s="150"/>
      <c r="AR37" s="150"/>
      <c r="AS37" s="150"/>
      <c r="AT37" s="150"/>
      <c r="AU37" s="150"/>
      <c r="AV37" s="150"/>
      <c r="AW37" s="150"/>
      <c r="AX37" s="150"/>
      <c r="AY37" s="151"/>
      <c r="AZ37" s="151"/>
      <c r="BA37" s="151"/>
      <c r="BB37" s="151"/>
      <c r="BC37" s="151"/>
      <c r="BD37" s="151"/>
      <c r="BE37" s="151"/>
      <c r="BF37" s="151"/>
      <c r="BG37" s="151"/>
      <c r="BH37" s="151"/>
      <c r="BI37" s="151"/>
      <c r="BJ37" s="151"/>
      <c r="BK37" s="151"/>
      <c r="BL37" s="151"/>
      <c r="BM37" s="151"/>
      <c r="BN37" s="151"/>
      <c r="BO37" s="151"/>
      <c r="BP37" s="151"/>
      <c r="BQ37" s="151"/>
      <c r="BR37" s="151"/>
    </row>
    <row r="38" s="75" customFormat="true" ht="15" hidden="false" customHeight="false" outlineLevel="0" collapsed="false">
      <c r="A38" s="141" t="s">
        <v>140</v>
      </c>
      <c r="B38" s="142" t="s">
        <v>1090</v>
      </c>
      <c r="C38" s="143" t="s">
        <v>1137</v>
      </c>
      <c r="D38" s="144"/>
      <c r="E38" s="144"/>
      <c r="F38" s="144"/>
      <c r="G38" s="145"/>
      <c r="H38" s="146" t="s">
        <v>81</v>
      </c>
      <c r="I38" s="147" t="s">
        <v>88</v>
      </c>
      <c r="J38" s="148" t="s">
        <v>81</v>
      </c>
      <c r="K38" s="149" t="s">
        <v>88</v>
      </c>
      <c r="L38" s="150" t="s">
        <v>1138</v>
      </c>
      <c r="M38" s="150" t="s">
        <v>1139</v>
      </c>
      <c r="N38" s="150" t="s">
        <v>1140</v>
      </c>
      <c r="O38" s="150" t="s">
        <v>1141</v>
      </c>
      <c r="P38" s="150" t="s">
        <v>1142</v>
      </c>
      <c r="Q38" s="150" t="s">
        <v>1097</v>
      </c>
      <c r="R38" s="150"/>
      <c r="S38" s="150"/>
      <c r="T38" s="150"/>
      <c r="U38" s="150"/>
      <c r="V38" s="150"/>
      <c r="W38" s="150"/>
      <c r="X38" s="150"/>
      <c r="Y38" s="150"/>
      <c r="Z38" s="150"/>
      <c r="AA38" s="150"/>
      <c r="AB38" s="150"/>
      <c r="AC38" s="150"/>
      <c r="AD38" s="150"/>
      <c r="AE38" s="150"/>
      <c r="AF38" s="150"/>
      <c r="AG38" s="150"/>
      <c r="AH38" s="150"/>
      <c r="AI38" s="150"/>
      <c r="AJ38" s="150"/>
      <c r="AK38" s="150"/>
      <c r="AL38" s="150"/>
      <c r="AM38" s="150"/>
      <c r="AN38" s="150"/>
      <c r="AO38" s="150"/>
      <c r="AP38" s="150"/>
      <c r="AQ38" s="150"/>
      <c r="AR38" s="150"/>
      <c r="AS38" s="150"/>
      <c r="AT38" s="150"/>
      <c r="AU38" s="150"/>
      <c r="AV38" s="150"/>
      <c r="AW38" s="150"/>
      <c r="AX38" s="150"/>
      <c r="AY38" s="151"/>
      <c r="AZ38" s="151"/>
      <c r="BA38" s="151"/>
      <c r="BB38" s="151"/>
      <c r="BC38" s="151"/>
      <c r="BD38" s="151"/>
      <c r="BE38" s="151"/>
      <c r="BF38" s="151"/>
      <c r="BG38" s="151"/>
      <c r="BH38" s="151"/>
      <c r="BI38" s="151"/>
      <c r="BJ38" s="151"/>
      <c r="BK38" s="151"/>
      <c r="BL38" s="151"/>
      <c r="BM38" s="151"/>
      <c r="BN38" s="151"/>
      <c r="BO38" s="151"/>
      <c r="BP38" s="151"/>
      <c r="BQ38" s="151"/>
      <c r="BR38" s="151"/>
    </row>
    <row r="39" s="75" customFormat="true" ht="15" hidden="false" customHeight="false" outlineLevel="0" collapsed="false">
      <c r="A39" s="141"/>
      <c r="B39" s="142"/>
      <c r="C39" s="143"/>
      <c r="D39" s="144"/>
      <c r="E39" s="144"/>
      <c r="F39" s="144"/>
      <c r="G39" s="145"/>
      <c r="H39" s="146"/>
      <c r="I39" s="147"/>
      <c r="J39" s="148"/>
      <c r="K39" s="149"/>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150"/>
      <c r="AN39" s="150"/>
      <c r="AO39" s="150"/>
      <c r="AP39" s="150"/>
      <c r="AQ39" s="150"/>
      <c r="AR39" s="150"/>
      <c r="AS39" s="150"/>
      <c r="AT39" s="150"/>
      <c r="AU39" s="150"/>
      <c r="AV39" s="150"/>
      <c r="AW39" s="150"/>
      <c r="AX39" s="150"/>
      <c r="AY39" s="151"/>
      <c r="AZ39" s="151"/>
      <c r="BA39" s="151"/>
      <c r="BB39" s="151"/>
      <c r="BC39" s="151"/>
      <c r="BD39" s="151"/>
      <c r="BE39" s="151"/>
      <c r="BF39" s="151"/>
      <c r="BG39" s="151"/>
      <c r="BH39" s="151"/>
      <c r="BI39" s="151"/>
      <c r="BJ39" s="151"/>
      <c r="BK39" s="151"/>
      <c r="BL39" s="151"/>
      <c r="BM39" s="151"/>
      <c r="BN39" s="151"/>
      <c r="BO39" s="151"/>
      <c r="BP39" s="151"/>
      <c r="BQ39" s="151"/>
      <c r="BR39" s="151"/>
    </row>
    <row r="40" s="140" customFormat="true" ht="30" hidden="false" customHeight="false" outlineLevel="0" collapsed="false">
      <c r="A40" s="129" t="s">
        <v>142</v>
      </c>
      <c r="B40" s="130" t="s">
        <v>1090</v>
      </c>
      <c r="C40" s="131" t="s">
        <v>1143</v>
      </c>
      <c r="D40" s="132"/>
      <c r="E40" s="132"/>
      <c r="F40" s="132"/>
      <c r="G40" s="133"/>
      <c r="H40" s="134" t="s">
        <v>81</v>
      </c>
      <c r="I40" s="135" t="s">
        <v>88</v>
      </c>
      <c r="J40" s="136" t="s">
        <v>81</v>
      </c>
      <c r="K40" s="137" t="s">
        <v>88</v>
      </c>
      <c r="L40" s="138" t="s">
        <v>1144</v>
      </c>
      <c r="M40" s="138" t="s">
        <v>1145</v>
      </c>
      <c r="N40" s="138" t="s">
        <v>1146</v>
      </c>
      <c r="O40" s="138" t="s">
        <v>1147</v>
      </c>
      <c r="P40" s="138" t="s">
        <v>1148</v>
      </c>
      <c r="Q40" s="138" t="s">
        <v>1149</v>
      </c>
      <c r="R40" s="138" t="s">
        <v>1150</v>
      </c>
      <c r="S40" s="138" t="s">
        <v>1151</v>
      </c>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c r="AX40" s="138"/>
      <c r="AY40" s="139"/>
      <c r="AZ40" s="139"/>
      <c r="BA40" s="139"/>
      <c r="BB40" s="139"/>
      <c r="BC40" s="139"/>
      <c r="BD40" s="139"/>
      <c r="BE40" s="139"/>
      <c r="BF40" s="139"/>
      <c r="BG40" s="139"/>
      <c r="BH40" s="139"/>
      <c r="BI40" s="139"/>
      <c r="BJ40" s="139"/>
      <c r="BK40" s="139"/>
      <c r="BL40" s="139"/>
      <c r="BM40" s="139"/>
      <c r="BN40" s="139"/>
      <c r="BO40" s="139"/>
      <c r="BP40" s="139"/>
      <c r="BQ40" s="139"/>
      <c r="BR40" s="139"/>
    </row>
    <row r="41" s="75" customFormat="true" ht="15" hidden="false" customHeight="false" outlineLevel="0" collapsed="false">
      <c r="A41" s="141"/>
      <c r="B41" s="142"/>
      <c r="C41" s="143"/>
      <c r="D41" s="144"/>
      <c r="E41" s="144"/>
      <c r="F41" s="144"/>
      <c r="G41" s="145"/>
      <c r="H41" s="146"/>
      <c r="I41" s="147"/>
      <c r="J41" s="148"/>
      <c r="K41" s="149"/>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1"/>
      <c r="AZ41" s="151"/>
      <c r="BA41" s="151"/>
      <c r="BB41" s="151"/>
      <c r="BC41" s="151"/>
      <c r="BD41" s="151"/>
      <c r="BE41" s="151"/>
      <c r="BF41" s="151"/>
      <c r="BG41" s="151"/>
      <c r="BH41" s="151"/>
      <c r="BI41" s="151"/>
      <c r="BJ41" s="151"/>
      <c r="BK41" s="151"/>
      <c r="BL41" s="151"/>
      <c r="BM41" s="151"/>
      <c r="BN41" s="151"/>
      <c r="BO41" s="151"/>
      <c r="BP41" s="151"/>
      <c r="BQ41" s="151"/>
      <c r="BR41" s="151"/>
    </row>
    <row r="42" s="75" customFormat="true" ht="15" hidden="false" customHeight="false" outlineLevel="0" collapsed="false">
      <c r="A42" s="141" t="s">
        <v>144</v>
      </c>
      <c r="B42" s="142" t="s">
        <v>1152</v>
      </c>
      <c r="C42" s="143" t="s">
        <v>145</v>
      </c>
      <c r="D42" s="144" t="s">
        <v>1153</v>
      </c>
      <c r="E42" s="144" t="s">
        <v>1153</v>
      </c>
      <c r="F42" s="152" t="s">
        <v>1089</v>
      </c>
      <c r="G42" s="145" t="s">
        <v>1153</v>
      </c>
      <c r="H42" s="146" t="s">
        <v>81</v>
      </c>
      <c r="I42" s="147" t="s">
        <v>82</v>
      </c>
      <c r="J42" s="148" t="s">
        <v>81</v>
      </c>
      <c r="K42" s="149" t="s">
        <v>82</v>
      </c>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1"/>
      <c r="AZ42" s="151"/>
      <c r="BA42" s="151"/>
      <c r="BB42" s="151"/>
      <c r="BC42" s="151"/>
      <c r="BD42" s="151"/>
      <c r="BE42" s="151"/>
      <c r="BF42" s="151"/>
      <c r="BG42" s="151"/>
      <c r="BH42" s="151"/>
      <c r="BI42" s="151"/>
      <c r="BJ42" s="151"/>
      <c r="BK42" s="151"/>
      <c r="BL42" s="151"/>
      <c r="BM42" s="151"/>
      <c r="BN42" s="151"/>
      <c r="BO42" s="151"/>
      <c r="BP42" s="151"/>
      <c r="BQ42" s="151"/>
      <c r="BR42" s="151"/>
    </row>
    <row r="43" s="75" customFormat="true" ht="15" hidden="false" customHeight="false" outlineLevel="0" collapsed="false">
      <c r="A43" s="141"/>
      <c r="B43" s="142"/>
      <c r="C43" s="143"/>
      <c r="D43" s="144"/>
      <c r="E43" s="144"/>
      <c r="F43" s="144"/>
      <c r="G43" s="145"/>
      <c r="H43" s="146"/>
      <c r="I43" s="147"/>
      <c r="J43" s="148"/>
      <c r="K43" s="149"/>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1"/>
      <c r="AZ43" s="151"/>
      <c r="BA43" s="151"/>
      <c r="BB43" s="151"/>
      <c r="BC43" s="151"/>
      <c r="BD43" s="151"/>
      <c r="BE43" s="151"/>
      <c r="BF43" s="151"/>
      <c r="BG43" s="151"/>
      <c r="BH43" s="151"/>
      <c r="BI43" s="151"/>
      <c r="BJ43" s="151"/>
      <c r="BK43" s="151"/>
      <c r="BL43" s="151"/>
      <c r="BM43" s="151"/>
      <c r="BN43" s="151"/>
      <c r="BO43" s="151"/>
      <c r="BP43" s="151"/>
      <c r="BQ43" s="151"/>
      <c r="BR43" s="151"/>
    </row>
    <row r="44" s="75" customFormat="true" ht="30" hidden="false" customHeight="false" outlineLevel="0" collapsed="false">
      <c r="A44" s="141" t="s">
        <v>146</v>
      </c>
      <c r="B44" s="142" t="s">
        <v>1152</v>
      </c>
      <c r="C44" s="143" t="s">
        <v>1154</v>
      </c>
      <c r="D44" s="144" t="s">
        <v>1153</v>
      </c>
      <c r="E44" s="144" t="s">
        <v>1153</v>
      </c>
      <c r="F44" s="152" t="s">
        <v>1089</v>
      </c>
      <c r="G44" s="145" t="s">
        <v>1153</v>
      </c>
      <c r="H44" s="146" t="s">
        <v>148</v>
      </c>
      <c r="I44" s="147" t="s">
        <v>82</v>
      </c>
      <c r="J44" s="148" t="s">
        <v>148</v>
      </c>
      <c r="K44" s="149" t="s">
        <v>82</v>
      </c>
      <c r="L44" s="150" t="s">
        <v>1155</v>
      </c>
      <c r="M44" s="150"/>
      <c r="N44" s="150"/>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1"/>
      <c r="AZ44" s="151"/>
      <c r="BA44" s="151"/>
      <c r="BB44" s="151"/>
      <c r="BC44" s="151"/>
      <c r="BD44" s="151"/>
      <c r="BE44" s="151"/>
      <c r="BF44" s="151"/>
      <c r="BG44" s="151"/>
      <c r="BH44" s="151"/>
      <c r="BI44" s="151"/>
      <c r="BJ44" s="151"/>
      <c r="BK44" s="151"/>
      <c r="BL44" s="151"/>
      <c r="BM44" s="151"/>
      <c r="BN44" s="151"/>
      <c r="BO44" s="151"/>
      <c r="BP44" s="151"/>
      <c r="BQ44" s="151"/>
      <c r="BR44" s="151"/>
    </row>
    <row r="45" s="75" customFormat="true" ht="30" hidden="false" customHeight="false" outlineLevel="0" collapsed="false">
      <c r="A45" s="141" t="s">
        <v>149</v>
      </c>
      <c r="B45" s="142" t="s">
        <v>1152</v>
      </c>
      <c r="C45" s="143" t="s">
        <v>1156</v>
      </c>
      <c r="D45" s="144" t="s">
        <v>1153</v>
      </c>
      <c r="E45" s="144" t="s">
        <v>1153</v>
      </c>
      <c r="F45" s="152" t="s">
        <v>1089</v>
      </c>
      <c r="G45" s="145" t="s">
        <v>1153</v>
      </c>
      <c r="H45" s="146" t="s">
        <v>148</v>
      </c>
      <c r="I45" s="147" t="s">
        <v>82</v>
      </c>
      <c r="J45" s="148" t="s">
        <v>148</v>
      </c>
      <c r="K45" s="149" t="s">
        <v>82</v>
      </c>
      <c r="L45" s="150" t="s">
        <v>1155</v>
      </c>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1"/>
      <c r="AZ45" s="151"/>
      <c r="BA45" s="151"/>
      <c r="BB45" s="151"/>
      <c r="BC45" s="151"/>
      <c r="BD45" s="151"/>
      <c r="BE45" s="151"/>
      <c r="BF45" s="151"/>
      <c r="BG45" s="151"/>
      <c r="BH45" s="151"/>
      <c r="BI45" s="151"/>
      <c r="BJ45" s="151"/>
      <c r="BK45" s="151"/>
      <c r="BL45" s="151"/>
      <c r="BM45" s="151"/>
      <c r="BN45" s="151"/>
      <c r="BO45" s="151"/>
      <c r="BP45" s="151"/>
      <c r="BQ45" s="151"/>
      <c r="BR45" s="151"/>
    </row>
    <row r="46" s="75" customFormat="true" ht="15" hidden="false" customHeight="false" outlineLevel="0" collapsed="false">
      <c r="A46" s="141"/>
      <c r="B46" s="142"/>
      <c r="C46" s="143"/>
      <c r="D46" s="144"/>
      <c r="E46" s="144"/>
      <c r="F46" s="144"/>
      <c r="G46" s="145"/>
      <c r="H46" s="146"/>
      <c r="I46" s="147"/>
      <c r="J46" s="148"/>
      <c r="K46" s="149"/>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0"/>
      <c r="AL46" s="150"/>
      <c r="AM46" s="150"/>
      <c r="AN46" s="150"/>
      <c r="AO46" s="150"/>
      <c r="AP46" s="150"/>
      <c r="AQ46" s="150"/>
      <c r="AR46" s="150"/>
      <c r="AS46" s="150"/>
      <c r="AT46" s="150"/>
      <c r="AU46" s="150"/>
      <c r="AV46" s="150"/>
      <c r="AW46" s="150"/>
      <c r="AX46" s="150"/>
      <c r="AY46" s="151"/>
      <c r="AZ46" s="151"/>
      <c r="BA46" s="151"/>
      <c r="BB46" s="151"/>
      <c r="BC46" s="151"/>
      <c r="BD46" s="151"/>
      <c r="BE46" s="151"/>
      <c r="BF46" s="151"/>
      <c r="BG46" s="151"/>
      <c r="BH46" s="151"/>
      <c r="BI46" s="151"/>
      <c r="BJ46" s="151"/>
      <c r="BK46" s="151"/>
      <c r="BL46" s="151"/>
      <c r="BM46" s="151"/>
      <c r="BN46" s="151"/>
      <c r="BO46" s="151"/>
      <c r="BP46" s="151"/>
      <c r="BQ46" s="151"/>
      <c r="BR46" s="151"/>
    </row>
    <row r="47" s="140" customFormat="true" ht="30" hidden="false" customHeight="false" outlineLevel="0" collapsed="false">
      <c r="A47" s="129" t="s">
        <v>151</v>
      </c>
      <c r="B47" s="130" t="s">
        <v>1090</v>
      </c>
      <c r="C47" s="131" t="s">
        <v>152</v>
      </c>
      <c r="D47" s="132"/>
      <c r="E47" s="132"/>
      <c r="F47" s="132"/>
      <c r="G47" s="133"/>
      <c r="H47" s="134" t="s">
        <v>153</v>
      </c>
      <c r="I47" s="135" t="s">
        <v>88</v>
      </c>
      <c r="J47" s="136" t="s">
        <v>153</v>
      </c>
      <c r="K47" s="137" t="s">
        <v>88</v>
      </c>
      <c r="L47" s="138" t="s">
        <v>1157</v>
      </c>
      <c r="M47" s="138" t="s">
        <v>1158</v>
      </c>
      <c r="N47" s="138" t="s">
        <v>1159</v>
      </c>
      <c r="O47" s="138"/>
      <c r="P47" s="138"/>
      <c r="Q47" s="138"/>
      <c r="R47" s="138"/>
      <c r="S47" s="138"/>
      <c r="T47" s="138"/>
      <c r="U47" s="138"/>
      <c r="V47" s="138"/>
      <c r="W47" s="138"/>
      <c r="X47" s="138"/>
      <c r="Y47" s="138"/>
      <c r="Z47" s="138"/>
      <c r="AA47" s="138"/>
      <c r="AB47" s="138"/>
      <c r="AC47" s="138"/>
      <c r="AD47" s="138"/>
      <c r="AE47" s="138"/>
      <c r="AF47" s="138"/>
      <c r="AG47" s="138"/>
      <c r="AH47" s="138"/>
      <c r="AI47" s="138"/>
      <c r="AJ47" s="138"/>
      <c r="AK47" s="138"/>
      <c r="AL47" s="138"/>
      <c r="AM47" s="138"/>
      <c r="AN47" s="138"/>
      <c r="AO47" s="138"/>
      <c r="AP47" s="138"/>
      <c r="AQ47" s="138"/>
      <c r="AR47" s="138"/>
      <c r="AS47" s="138"/>
      <c r="AT47" s="138"/>
      <c r="AU47" s="138"/>
      <c r="AV47" s="138"/>
      <c r="AW47" s="138"/>
      <c r="AX47" s="138"/>
      <c r="AY47" s="139"/>
      <c r="AZ47" s="139"/>
      <c r="BA47" s="139"/>
      <c r="BB47" s="139"/>
      <c r="BC47" s="139"/>
      <c r="BD47" s="139"/>
      <c r="BE47" s="139"/>
      <c r="BF47" s="139"/>
      <c r="BG47" s="139"/>
      <c r="BH47" s="139"/>
      <c r="BI47" s="139"/>
      <c r="BJ47" s="139"/>
      <c r="BK47" s="139"/>
      <c r="BL47" s="139"/>
      <c r="BM47" s="139"/>
      <c r="BN47" s="139"/>
      <c r="BO47" s="139"/>
      <c r="BP47" s="139"/>
      <c r="BQ47" s="139"/>
      <c r="BR47" s="139"/>
    </row>
    <row r="48" s="75" customFormat="true" ht="15" hidden="false" customHeight="false" outlineLevel="0" collapsed="false">
      <c r="A48" s="141"/>
      <c r="B48" s="142"/>
      <c r="C48" s="143"/>
      <c r="D48" s="144"/>
      <c r="E48" s="144"/>
      <c r="F48" s="144"/>
      <c r="G48" s="145"/>
      <c r="H48" s="146"/>
      <c r="I48" s="147"/>
      <c r="J48" s="148"/>
      <c r="K48" s="149"/>
      <c r="L48" s="150"/>
      <c r="M48" s="150"/>
      <c r="N48" s="150"/>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150"/>
      <c r="AN48" s="150"/>
      <c r="AO48" s="150"/>
      <c r="AP48" s="150"/>
      <c r="AQ48" s="150"/>
      <c r="AR48" s="150"/>
      <c r="AS48" s="150"/>
      <c r="AT48" s="150"/>
      <c r="AU48" s="150"/>
      <c r="AV48" s="150"/>
      <c r="AW48" s="150"/>
      <c r="AX48" s="150"/>
      <c r="AY48" s="151"/>
      <c r="AZ48" s="151"/>
      <c r="BA48" s="151"/>
      <c r="BB48" s="151"/>
      <c r="BC48" s="151"/>
      <c r="BD48" s="151"/>
      <c r="BE48" s="151"/>
      <c r="BF48" s="151"/>
      <c r="BG48" s="151"/>
      <c r="BH48" s="151"/>
      <c r="BI48" s="151"/>
      <c r="BJ48" s="151"/>
      <c r="BK48" s="151"/>
      <c r="BL48" s="151"/>
      <c r="BM48" s="151"/>
      <c r="BN48" s="151"/>
      <c r="BO48" s="151"/>
      <c r="BP48" s="151"/>
      <c r="BQ48" s="151"/>
      <c r="BR48" s="151"/>
    </row>
    <row r="49" s="75" customFormat="true" ht="30" hidden="false" customHeight="false" outlineLevel="0" collapsed="false">
      <c r="A49" s="141" t="s">
        <v>154</v>
      </c>
      <c r="B49" s="142" t="s">
        <v>1152</v>
      </c>
      <c r="C49" s="143" t="s">
        <v>1160</v>
      </c>
      <c r="D49" s="144" t="s">
        <v>1153</v>
      </c>
      <c r="E49" s="144" t="s">
        <v>1153</v>
      </c>
      <c r="F49" s="152" t="s">
        <v>1089</v>
      </c>
      <c r="G49" s="145" t="s">
        <v>1153</v>
      </c>
      <c r="H49" s="146" t="s">
        <v>156</v>
      </c>
      <c r="I49" s="147" t="s">
        <v>82</v>
      </c>
      <c r="J49" s="148" t="s">
        <v>156</v>
      </c>
      <c r="K49" s="149" t="s">
        <v>82</v>
      </c>
      <c r="L49" s="150" t="s">
        <v>1161</v>
      </c>
      <c r="M49" s="150"/>
      <c r="N49" s="150"/>
      <c r="O49" s="150"/>
      <c r="P49" s="150"/>
      <c r="Q49" s="150"/>
      <c r="R49" s="150"/>
      <c r="S49" s="150"/>
      <c r="T49" s="150"/>
      <c r="U49" s="150"/>
      <c r="V49" s="150"/>
      <c r="W49" s="150"/>
      <c r="X49" s="150"/>
      <c r="Y49" s="150"/>
      <c r="Z49" s="150"/>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1"/>
      <c r="AZ49" s="151"/>
      <c r="BA49" s="151"/>
      <c r="BB49" s="151"/>
      <c r="BC49" s="151"/>
      <c r="BD49" s="151"/>
      <c r="BE49" s="151"/>
      <c r="BF49" s="151"/>
      <c r="BG49" s="151"/>
      <c r="BH49" s="151"/>
      <c r="BI49" s="151"/>
      <c r="BJ49" s="151"/>
      <c r="BK49" s="151"/>
      <c r="BL49" s="151"/>
      <c r="BM49" s="151"/>
      <c r="BN49" s="151"/>
      <c r="BO49" s="151"/>
      <c r="BP49" s="151"/>
      <c r="BQ49" s="151"/>
      <c r="BR49" s="151"/>
    </row>
    <row r="50" s="75" customFormat="true" ht="15" hidden="false" customHeight="false" outlineLevel="0" collapsed="false">
      <c r="A50" s="141"/>
      <c r="B50" s="142"/>
      <c r="C50" s="143"/>
      <c r="D50" s="144"/>
      <c r="E50" s="144"/>
      <c r="F50" s="144"/>
      <c r="G50" s="145"/>
      <c r="H50" s="146"/>
      <c r="I50" s="147"/>
      <c r="J50" s="148"/>
      <c r="K50" s="149"/>
      <c r="L50" s="150"/>
      <c r="M50" s="150"/>
      <c r="N50" s="150"/>
      <c r="O50" s="150"/>
      <c r="P50" s="150"/>
      <c r="Q50" s="150"/>
      <c r="R50" s="150"/>
      <c r="S50" s="150"/>
      <c r="T50" s="150"/>
      <c r="U50" s="150"/>
      <c r="V50" s="150"/>
      <c r="W50" s="150"/>
      <c r="X50" s="150"/>
      <c r="Y50" s="150"/>
      <c r="Z50" s="150"/>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1"/>
      <c r="AZ50" s="151"/>
      <c r="BA50" s="151"/>
      <c r="BB50" s="151"/>
      <c r="BC50" s="151"/>
      <c r="BD50" s="151"/>
      <c r="BE50" s="151"/>
      <c r="BF50" s="151"/>
      <c r="BG50" s="151"/>
      <c r="BH50" s="151"/>
      <c r="BI50" s="151"/>
      <c r="BJ50" s="151"/>
      <c r="BK50" s="151"/>
      <c r="BL50" s="151"/>
      <c r="BM50" s="151"/>
      <c r="BN50" s="151"/>
      <c r="BO50" s="151"/>
      <c r="BP50" s="151"/>
      <c r="BQ50" s="151"/>
      <c r="BR50" s="151"/>
    </row>
    <row r="51" s="75" customFormat="true" ht="15" hidden="false" customHeight="false" outlineLevel="0" collapsed="false">
      <c r="A51" s="141" t="s">
        <v>157</v>
      </c>
      <c r="B51" s="142" t="s">
        <v>1152</v>
      </c>
      <c r="C51" s="143" t="s">
        <v>158</v>
      </c>
      <c r="D51" s="144" t="s">
        <v>1153</v>
      </c>
      <c r="E51" s="144" t="s">
        <v>1153</v>
      </c>
      <c r="F51" s="152" t="s">
        <v>1089</v>
      </c>
      <c r="G51" s="145" t="s">
        <v>1153</v>
      </c>
      <c r="H51" s="146" t="s">
        <v>81</v>
      </c>
      <c r="I51" s="147" t="s">
        <v>1099</v>
      </c>
      <c r="J51" s="148" t="s">
        <v>81</v>
      </c>
      <c r="K51" s="149" t="s">
        <v>1099</v>
      </c>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1"/>
      <c r="AZ51" s="151"/>
      <c r="BA51" s="151"/>
      <c r="BB51" s="151"/>
      <c r="BC51" s="151"/>
      <c r="BD51" s="151"/>
      <c r="BE51" s="151"/>
      <c r="BF51" s="151"/>
      <c r="BG51" s="151"/>
      <c r="BH51" s="151"/>
      <c r="BI51" s="151"/>
      <c r="BJ51" s="151"/>
      <c r="BK51" s="151"/>
      <c r="BL51" s="151"/>
      <c r="BM51" s="151"/>
      <c r="BN51" s="151"/>
      <c r="BO51" s="151"/>
      <c r="BP51" s="151"/>
      <c r="BQ51" s="151"/>
      <c r="BR51" s="151"/>
    </row>
    <row r="52" s="75" customFormat="true" ht="15" hidden="false" customHeight="false" outlineLevel="0" collapsed="false">
      <c r="A52" s="141" t="s">
        <v>160</v>
      </c>
      <c r="B52" s="142" t="s">
        <v>1152</v>
      </c>
      <c r="C52" s="143" t="s">
        <v>161</v>
      </c>
      <c r="D52" s="144" t="s">
        <v>1153</v>
      </c>
      <c r="E52" s="144" t="s">
        <v>1153</v>
      </c>
      <c r="F52" s="152" t="s">
        <v>1089</v>
      </c>
      <c r="G52" s="145" t="s">
        <v>1153</v>
      </c>
      <c r="H52" s="146" t="s">
        <v>81</v>
      </c>
      <c r="I52" s="147" t="s">
        <v>82</v>
      </c>
      <c r="J52" s="148" t="s">
        <v>81</v>
      </c>
      <c r="K52" s="149" t="s">
        <v>82</v>
      </c>
      <c r="L52" s="150"/>
      <c r="M52" s="150"/>
      <c r="N52" s="150"/>
      <c r="O52" s="150"/>
      <c r="P52" s="150"/>
      <c r="Q52" s="150"/>
      <c r="R52" s="150"/>
      <c r="S52" s="150"/>
      <c r="T52" s="150"/>
      <c r="U52" s="150"/>
      <c r="V52" s="150"/>
      <c r="W52" s="150"/>
      <c r="X52" s="150"/>
      <c r="Y52" s="150"/>
      <c r="Z52" s="150"/>
      <c r="AA52" s="150"/>
      <c r="AB52" s="150"/>
      <c r="AC52" s="150"/>
      <c r="AD52" s="150"/>
      <c r="AE52" s="150"/>
      <c r="AF52" s="150"/>
      <c r="AG52" s="150"/>
      <c r="AH52" s="150"/>
      <c r="AI52" s="150"/>
      <c r="AJ52" s="150"/>
      <c r="AK52" s="150"/>
      <c r="AL52" s="150"/>
      <c r="AM52" s="150"/>
      <c r="AN52" s="150"/>
      <c r="AO52" s="150"/>
      <c r="AP52" s="150"/>
      <c r="AQ52" s="150"/>
      <c r="AR52" s="150"/>
      <c r="AS52" s="150"/>
      <c r="AT52" s="150"/>
      <c r="AU52" s="150"/>
      <c r="AV52" s="150"/>
      <c r="AW52" s="150"/>
      <c r="AX52" s="150"/>
      <c r="AY52" s="151"/>
      <c r="AZ52" s="151"/>
      <c r="BA52" s="151"/>
      <c r="BB52" s="151"/>
      <c r="BC52" s="151"/>
      <c r="BD52" s="151"/>
      <c r="BE52" s="151"/>
      <c r="BF52" s="151"/>
      <c r="BG52" s="151"/>
      <c r="BH52" s="151"/>
      <c r="BI52" s="151"/>
      <c r="BJ52" s="151"/>
      <c r="BK52" s="151"/>
      <c r="BL52" s="151"/>
      <c r="BM52" s="151"/>
      <c r="BN52" s="151"/>
      <c r="BO52" s="151"/>
      <c r="BP52" s="151"/>
      <c r="BQ52" s="151"/>
      <c r="BR52" s="151"/>
    </row>
    <row r="53" s="75" customFormat="true" ht="15" hidden="false" customHeight="false" outlineLevel="0" collapsed="false">
      <c r="A53" s="141"/>
      <c r="B53" s="142"/>
      <c r="C53" s="143"/>
      <c r="D53" s="144"/>
      <c r="E53" s="144"/>
      <c r="F53" s="144"/>
      <c r="G53" s="145"/>
      <c r="H53" s="146"/>
      <c r="I53" s="147"/>
      <c r="J53" s="148"/>
      <c r="K53" s="149"/>
      <c r="L53" s="150"/>
      <c r="M53" s="150"/>
      <c r="N53" s="150"/>
      <c r="O53" s="150"/>
      <c r="P53" s="150"/>
      <c r="Q53" s="150"/>
      <c r="R53" s="150"/>
      <c r="S53" s="150"/>
      <c r="T53" s="150"/>
      <c r="U53" s="150"/>
      <c r="V53" s="150"/>
      <c r="W53" s="150"/>
      <c r="X53" s="150"/>
      <c r="Y53" s="150"/>
      <c r="Z53" s="150"/>
      <c r="AA53" s="150"/>
      <c r="AB53" s="150"/>
      <c r="AC53" s="150"/>
      <c r="AD53" s="150"/>
      <c r="AE53" s="150"/>
      <c r="AF53" s="150"/>
      <c r="AG53" s="150"/>
      <c r="AH53" s="150"/>
      <c r="AI53" s="150"/>
      <c r="AJ53" s="150"/>
      <c r="AK53" s="150"/>
      <c r="AL53" s="150"/>
      <c r="AM53" s="150"/>
      <c r="AN53" s="150"/>
      <c r="AO53" s="150"/>
      <c r="AP53" s="150"/>
      <c r="AQ53" s="150"/>
      <c r="AR53" s="150"/>
      <c r="AS53" s="150"/>
      <c r="AT53" s="150"/>
      <c r="AU53" s="150"/>
      <c r="AV53" s="150"/>
      <c r="AW53" s="150"/>
      <c r="AX53" s="150"/>
      <c r="AY53" s="151"/>
      <c r="AZ53" s="151"/>
      <c r="BA53" s="151"/>
      <c r="BB53" s="151"/>
      <c r="BC53" s="151"/>
      <c r="BD53" s="151"/>
      <c r="BE53" s="151"/>
      <c r="BF53" s="151"/>
      <c r="BG53" s="151"/>
      <c r="BH53" s="151"/>
      <c r="BI53" s="151"/>
      <c r="BJ53" s="151"/>
      <c r="BK53" s="151"/>
      <c r="BL53" s="151"/>
      <c r="BM53" s="151"/>
      <c r="BN53" s="151"/>
      <c r="BO53" s="151"/>
      <c r="BP53" s="151"/>
      <c r="BQ53" s="151"/>
      <c r="BR53" s="151"/>
    </row>
    <row r="54" s="75" customFormat="true" ht="45" hidden="false" customHeight="false" outlineLevel="0" collapsed="false">
      <c r="A54" s="141" t="s">
        <v>162</v>
      </c>
      <c r="B54" s="142" t="s">
        <v>1152</v>
      </c>
      <c r="C54" s="143" t="s">
        <v>1162</v>
      </c>
      <c r="D54" s="144" t="s">
        <v>1153</v>
      </c>
      <c r="E54" s="144" t="s">
        <v>1153</v>
      </c>
      <c r="F54" s="152" t="s">
        <v>1089</v>
      </c>
      <c r="G54" s="145" t="s">
        <v>1153</v>
      </c>
      <c r="H54" s="146" t="s">
        <v>164</v>
      </c>
      <c r="I54" s="147" t="s">
        <v>82</v>
      </c>
      <c r="J54" s="148" t="s">
        <v>164</v>
      </c>
      <c r="K54" s="149" t="s">
        <v>82</v>
      </c>
      <c r="L54" s="150" t="s">
        <v>1163</v>
      </c>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1"/>
      <c r="AZ54" s="151"/>
      <c r="BA54" s="151"/>
      <c r="BB54" s="151"/>
      <c r="BC54" s="151"/>
      <c r="BD54" s="151"/>
      <c r="BE54" s="151"/>
      <c r="BF54" s="151"/>
      <c r="BG54" s="151"/>
      <c r="BH54" s="151"/>
      <c r="BI54" s="151"/>
      <c r="BJ54" s="151"/>
      <c r="BK54" s="151"/>
      <c r="BL54" s="151"/>
      <c r="BM54" s="151"/>
      <c r="BN54" s="151"/>
      <c r="BO54" s="151"/>
      <c r="BP54" s="151"/>
      <c r="BQ54" s="151"/>
      <c r="BR54" s="151"/>
    </row>
    <row r="55" s="75" customFormat="true" ht="30" hidden="false" customHeight="false" outlineLevel="0" collapsed="false">
      <c r="A55" s="141" t="s">
        <v>165</v>
      </c>
      <c r="B55" s="142" t="s">
        <v>1152</v>
      </c>
      <c r="C55" s="143" t="s">
        <v>1164</v>
      </c>
      <c r="D55" s="144" t="s">
        <v>1153</v>
      </c>
      <c r="E55" s="144" t="s">
        <v>1153</v>
      </c>
      <c r="F55" s="152" t="s">
        <v>1089</v>
      </c>
      <c r="G55" s="145" t="s">
        <v>1153</v>
      </c>
      <c r="H55" s="146" t="s">
        <v>167</v>
      </c>
      <c r="I55" s="147" t="s">
        <v>82</v>
      </c>
      <c r="J55" s="148" t="s">
        <v>167</v>
      </c>
      <c r="K55" s="149" t="s">
        <v>82</v>
      </c>
      <c r="L55" s="150" t="s">
        <v>1165</v>
      </c>
      <c r="M55" s="150"/>
      <c r="N55" s="150"/>
      <c r="O55" s="150"/>
      <c r="P55" s="150"/>
      <c r="Q55" s="150"/>
      <c r="R55" s="150"/>
      <c r="S55" s="150"/>
      <c r="T55" s="150"/>
      <c r="U55" s="150"/>
      <c r="V55" s="150"/>
      <c r="W55" s="150"/>
      <c r="X55" s="150"/>
      <c r="Y55" s="150"/>
      <c r="Z55" s="150"/>
      <c r="AA55" s="150"/>
      <c r="AB55" s="150"/>
      <c r="AC55" s="150"/>
      <c r="AD55" s="150"/>
      <c r="AE55" s="150"/>
      <c r="AF55" s="150"/>
      <c r="AG55" s="150"/>
      <c r="AH55" s="150"/>
      <c r="AI55" s="150"/>
      <c r="AJ55" s="150"/>
      <c r="AK55" s="150"/>
      <c r="AL55" s="150"/>
      <c r="AM55" s="150"/>
      <c r="AN55" s="150"/>
      <c r="AO55" s="150"/>
      <c r="AP55" s="150"/>
      <c r="AQ55" s="150"/>
      <c r="AR55" s="150"/>
      <c r="AS55" s="150"/>
      <c r="AT55" s="150"/>
      <c r="AU55" s="150"/>
      <c r="AV55" s="150"/>
      <c r="AW55" s="150"/>
      <c r="AX55" s="150"/>
      <c r="AY55" s="151"/>
      <c r="AZ55" s="151"/>
      <c r="BA55" s="151"/>
      <c r="BB55" s="151"/>
      <c r="BC55" s="151"/>
      <c r="BD55" s="151"/>
      <c r="BE55" s="151"/>
      <c r="BF55" s="151"/>
      <c r="BG55" s="151"/>
      <c r="BH55" s="151"/>
      <c r="BI55" s="151"/>
      <c r="BJ55" s="151"/>
      <c r="BK55" s="151"/>
      <c r="BL55" s="151"/>
      <c r="BM55" s="151"/>
      <c r="BN55" s="151"/>
      <c r="BO55" s="151"/>
      <c r="BP55" s="151"/>
      <c r="BQ55" s="151"/>
      <c r="BR55" s="151"/>
    </row>
    <row r="56" s="75" customFormat="true" ht="15" hidden="false" customHeight="false" outlineLevel="0" collapsed="false">
      <c r="A56" s="141"/>
      <c r="B56" s="142"/>
      <c r="C56" s="143"/>
      <c r="D56" s="144"/>
      <c r="E56" s="144"/>
      <c r="F56" s="144"/>
      <c r="G56" s="145"/>
      <c r="H56" s="146"/>
      <c r="I56" s="147"/>
      <c r="J56" s="148"/>
      <c r="K56" s="149"/>
      <c r="L56" s="150"/>
      <c r="M56" s="150"/>
      <c r="N56" s="150"/>
      <c r="O56" s="150"/>
      <c r="P56" s="150"/>
      <c r="Q56" s="150"/>
      <c r="R56" s="150"/>
      <c r="S56" s="150"/>
      <c r="T56" s="150"/>
      <c r="U56" s="150"/>
      <c r="V56" s="150"/>
      <c r="W56" s="150"/>
      <c r="X56" s="150"/>
      <c r="Y56" s="150"/>
      <c r="Z56" s="150"/>
      <c r="AA56" s="150"/>
      <c r="AB56" s="150"/>
      <c r="AC56" s="150"/>
      <c r="AD56" s="150"/>
      <c r="AE56" s="150"/>
      <c r="AF56" s="150"/>
      <c r="AG56" s="150"/>
      <c r="AH56" s="150"/>
      <c r="AI56" s="150"/>
      <c r="AJ56" s="150"/>
      <c r="AK56" s="150"/>
      <c r="AL56" s="150"/>
      <c r="AM56" s="150"/>
      <c r="AN56" s="150"/>
      <c r="AO56" s="150"/>
      <c r="AP56" s="150"/>
      <c r="AQ56" s="150"/>
      <c r="AR56" s="150"/>
      <c r="AS56" s="150"/>
      <c r="AT56" s="150"/>
      <c r="AU56" s="150"/>
      <c r="AV56" s="150"/>
      <c r="AW56" s="150"/>
      <c r="AX56" s="150"/>
      <c r="AY56" s="151"/>
      <c r="AZ56" s="151"/>
      <c r="BA56" s="151"/>
      <c r="BB56" s="151"/>
      <c r="BC56" s="151"/>
      <c r="BD56" s="151"/>
      <c r="BE56" s="151"/>
      <c r="BF56" s="151"/>
      <c r="BG56" s="151"/>
      <c r="BH56" s="151"/>
      <c r="BI56" s="151"/>
      <c r="BJ56" s="151"/>
      <c r="BK56" s="151"/>
      <c r="BL56" s="151"/>
      <c r="BM56" s="151"/>
      <c r="BN56" s="151"/>
      <c r="BO56" s="151"/>
      <c r="BP56" s="151"/>
      <c r="BQ56" s="151"/>
      <c r="BR56" s="151"/>
    </row>
    <row r="57" s="75" customFormat="true" ht="30" hidden="false" customHeight="false" outlineLevel="0" collapsed="false">
      <c r="A57" s="141" t="s">
        <v>168</v>
      </c>
      <c r="B57" s="142" t="s">
        <v>1090</v>
      </c>
      <c r="C57" s="143" t="s">
        <v>1166</v>
      </c>
      <c r="D57" s="144"/>
      <c r="E57" s="144"/>
      <c r="F57" s="144"/>
      <c r="G57" s="145"/>
      <c r="H57" s="146" t="s">
        <v>81</v>
      </c>
      <c r="I57" s="147" t="s">
        <v>88</v>
      </c>
      <c r="J57" s="148" t="s">
        <v>81</v>
      </c>
      <c r="K57" s="149" t="s">
        <v>88</v>
      </c>
      <c r="L57" s="150" t="s">
        <v>1167</v>
      </c>
      <c r="M57" s="150" t="s">
        <v>1168</v>
      </c>
      <c r="N57" s="150" t="s">
        <v>1169</v>
      </c>
      <c r="O57" s="150" t="s">
        <v>1170</v>
      </c>
      <c r="P57" s="150" t="s">
        <v>1171</v>
      </c>
      <c r="Q57" s="150" t="s">
        <v>1097</v>
      </c>
      <c r="R57" s="150"/>
      <c r="S57" s="150"/>
      <c r="T57" s="150"/>
      <c r="U57" s="150"/>
      <c r="V57" s="150"/>
      <c r="W57" s="150"/>
      <c r="X57" s="150"/>
      <c r="Y57" s="150"/>
      <c r="Z57" s="150"/>
      <c r="AA57" s="150"/>
      <c r="AB57" s="150"/>
      <c r="AC57" s="150"/>
      <c r="AD57" s="150"/>
      <c r="AE57" s="150"/>
      <c r="AF57" s="150"/>
      <c r="AG57" s="150"/>
      <c r="AH57" s="150"/>
      <c r="AI57" s="150"/>
      <c r="AJ57" s="150"/>
      <c r="AK57" s="150"/>
      <c r="AL57" s="150"/>
      <c r="AM57" s="150"/>
      <c r="AN57" s="150"/>
      <c r="AO57" s="150"/>
      <c r="AP57" s="150"/>
      <c r="AQ57" s="150"/>
      <c r="AR57" s="150"/>
      <c r="AS57" s="150"/>
      <c r="AT57" s="150"/>
      <c r="AU57" s="150"/>
      <c r="AV57" s="150"/>
      <c r="AW57" s="150"/>
      <c r="AX57" s="150"/>
      <c r="AY57" s="151"/>
      <c r="AZ57" s="151"/>
      <c r="BA57" s="151"/>
      <c r="BB57" s="151"/>
      <c r="BC57" s="151"/>
      <c r="BD57" s="151"/>
      <c r="BE57" s="151"/>
      <c r="BF57" s="151"/>
      <c r="BG57" s="151"/>
      <c r="BH57" s="151"/>
      <c r="BI57" s="151"/>
      <c r="BJ57" s="151"/>
      <c r="BK57" s="151"/>
      <c r="BL57" s="151"/>
      <c r="BM57" s="151"/>
      <c r="BN57" s="151"/>
      <c r="BO57" s="151"/>
      <c r="BP57" s="151"/>
      <c r="BQ57" s="151"/>
      <c r="BR57" s="151"/>
    </row>
    <row r="58" s="75" customFormat="true" ht="15" hidden="false" customHeight="false" outlineLevel="0" collapsed="false">
      <c r="A58" s="141" t="s">
        <v>170</v>
      </c>
      <c r="B58" s="142" t="s">
        <v>1090</v>
      </c>
      <c r="C58" s="143" t="s">
        <v>171</v>
      </c>
      <c r="D58" s="144"/>
      <c r="E58" s="144"/>
      <c r="F58" s="144"/>
      <c r="G58" s="145"/>
      <c r="H58" s="146" t="s">
        <v>81</v>
      </c>
      <c r="I58" s="147" t="s">
        <v>88</v>
      </c>
      <c r="J58" s="148" t="s">
        <v>81</v>
      </c>
      <c r="K58" s="149" t="s">
        <v>88</v>
      </c>
      <c r="L58" s="150" t="s">
        <v>1167</v>
      </c>
      <c r="M58" s="150" t="s">
        <v>1168</v>
      </c>
      <c r="N58" s="150" t="s">
        <v>1169</v>
      </c>
      <c r="O58" s="150" t="s">
        <v>1172</v>
      </c>
      <c r="P58" s="150" t="s">
        <v>1171</v>
      </c>
      <c r="Q58" s="150" t="s">
        <v>1097</v>
      </c>
      <c r="R58" s="150"/>
      <c r="S58" s="150"/>
      <c r="T58" s="150"/>
      <c r="U58" s="150"/>
      <c r="V58" s="150"/>
      <c r="W58" s="150"/>
      <c r="X58" s="150"/>
      <c r="Y58" s="150"/>
      <c r="Z58" s="150"/>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1"/>
      <c r="AZ58" s="151"/>
      <c r="BA58" s="151"/>
      <c r="BB58" s="151"/>
      <c r="BC58" s="151"/>
      <c r="BD58" s="151"/>
      <c r="BE58" s="151"/>
      <c r="BF58" s="151"/>
      <c r="BG58" s="151"/>
      <c r="BH58" s="151"/>
      <c r="BI58" s="151"/>
      <c r="BJ58" s="151"/>
      <c r="BK58" s="151"/>
      <c r="BL58" s="151"/>
      <c r="BM58" s="151"/>
      <c r="BN58" s="151"/>
      <c r="BO58" s="151"/>
      <c r="BP58" s="151"/>
      <c r="BQ58" s="151"/>
      <c r="BR58" s="151"/>
    </row>
    <row r="59" s="75" customFormat="true" ht="15" hidden="false" customHeight="false" outlineLevel="0" collapsed="false">
      <c r="A59" s="141"/>
      <c r="B59" s="142"/>
      <c r="C59" s="143"/>
      <c r="D59" s="144"/>
      <c r="E59" s="144"/>
      <c r="F59" s="144"/>
      <c r="G59" s="145"/>
      <c r="H59" s="146"/>
      <c r="I59" s="147"/>
      <c r="J59" s="148"/>
      <c r="K59" s="149"/>
      <c r="L59" s="150"/>
      <c r="M59" s="150"/>
      <c r="N59" s="150"/>
      <c r="O59" s="150"/>
      <c r="P59" s="150"/>
      <c r="Q59" s="150"/>
      <c r="R59" s="150"/>
      <c r="S59" s="150"/>
      <c r="T59" s="150"/>
      <c r="U59" s="150"/>
      <c r="V59" s="150"/>
      <c r="W59" s="150"/>
      <c r="X59" s="150"/>
      <c r="Y59" s="150"/>
      <c r="Z59" s="150"/>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1"/>
      <c r="AZ59" s="151"/>
      <c r="BA59" s="151"/>
      <c r="BB59" s="151"/>
      <c r="BC59" s="151"/>
      <c r="BD59" s="151"/>
      <c r="BE59" s="151"/>
      <c r="BF59" s="151"/>
      <c r="BG59" s="151"/>
      <c r="BH59" s="151"/>
      <c r="BI59" s="151"/>
      <c r="BJ59" s="151"/>
      <c r="BK59" s="151"/>
      <c r="BL59" s="151"/>
      <c r="BM59" s="151"/>
      <c r="BN59" s="151"/>
      <c r="BO59" s="151"/>
      <c r="BP59" s="151"/>
      <c r="BQ59" s="151"/>
      <c r="BR59" s="151"/>
    </row>
    <row r="60" s="75" customFormat="true" ht="45" hidden="false" customHeight="false" outlineLevel="0" collapsed="false">
      <c r="A60" s="141" t="s">
        <v>172</v>
      </c>
      <c r="B60" s="142" t="s">
        <v>1090</v>
      </c>
      <c r="C60" s="143" t="s">
        <v>1173</v>
      </c>
      <c r="D60" s="144"/>
      <c r="E60" s="144"/>
      <c r="F60" s="144"/>
      <c r="G60" s="145"/>
      <c r="H60" s="146" t="s">
        <v>81</v>
      </c>
      <c r="I60" s="147" t="s">
        <v>88</v>
      </c>
      <c r="J60" s="148" t="s">
        <v>81</v>
      </c>
      <c r="K60" s="149" t="s">
        <v>88</v>
      </c>
      <c r="L60" s="150" t="s">
        <v>1174</v>
      </c>
      <c r="M60" s="150" t="s">
        <v>1175</v>
      </c>
      <c r="N60" s="150" t="s">
        <v>1176</v>
      </c>
      <c r="O60" s="150"/>
      <c r="P60" s="150"/>
      <c r="Q60" s="150"/>
      <c r="R60" s="150"/>
      <c r="S60" s="150"/>
      <c r="T60" s="150"/>
      <c r="U60" s="150"/>
      <c r="V60" s="150"/>
      <c r="W60" s="150"/>
      <c r="X60" s="150"/>
      <c r="Y60" s="150"/>
      <c r="Z60" s="150"/>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1"/>
      <c r="AZ60" s="151"/>
      <c r="BA60" s="151"/>
      <c r="BB60" s="151"/>
      <c r="BC60" s="151"/>
      <c r="BD60" s="151"/>
      <c r="BE60" s="151"/>
      <c r="BF60" s="151"/>
      <c r="BG60" s="151"/>
      <c r="BH60" s="151"/>
      <c r="BI60" s="151"/>
      <c r="BJ60" s="151"/>
      <c r="BK60" s="151"/>
      <c r="BL60" s="151"/>
      <c r="BM60" s="151"/>
      <c r="BN60" s="151"/>
      <c r="BO60" s="151"/>
      <c r="BP60" s="151"/>
      <c r="BQ60" s="151"/>
      <c r="BR60" s="151"/>
    </row>
    <row r="61" s="75" customFormat="true" ht="30" hidden="false" customHeight="false" outlineLevel="0" collapsed="false">
      <c r="A61" s="141" t="s">
        <v>179</v>
      </c>
      <c r="B61" s="142" t="s">
        <v>1090</v>
      </c>
      <c r="C61" s="143" t="s">
        <v>1177</v>
      </c>
      <c r="D61" s="144"/>
      <c r="E61" s="144"/>
      <c r="F61" s="144"/>
      <c r="G61" s="145"/>
      <c r="H61" s="146" t="s">
        <v>1178</v>
      </c>
      <c r="I61" s="147" t="s">
        <v>88</v>
      </c>
      <c r="J61" s="148" t="s">
        <v>1178</v>
      </c>
      <c r="K61" s="149" t="s">
        <v>88</v>
      </c>
      <c r="L61" s="150" t="s">
        <v>1179</v>
      </c>
      <c r="M61" s="150" t="s">
        <v>1180</v>
      </c>
      <c r="N61" s="150" t="s">
        <v>1181</v>
      </c>
      <c r="O61" s="150"/>
      <c r="P61" s="150"/>
      <c r="Q61" s="150"/>
      <c r="R61" s="150"/>
      <c r="S61" s="150"/>
      <c r="T61" s="150"/>
      <c r="U61" s="150"/>
      <c r="V61" s="150"/>
      <c r="W61" s="150"/>
      <c r="X61" s="150"/>
      <c r="Y61" s="150"/>
      <c r="Z61" s="150"/>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1"/>
      <c r="AZ61" s="151"/>
      <c r="BA61" s="151"/>
      <c r="BB61" s="151"/>
      <c r="BC61" s="151"/>
      <c r="BD61" s="151"/>
      <c r="BE61" s="151"/>
      <c r="BF61" s="151"/>
      <c r="BG61" s="151"/>
      <c r="BH61" s="151"/>
      <c r="BI61" s="151"/>
      <c r="BJ61" s="151"/>
      <c r="BK61" s="151"/>
      <c r="BL61" s="151"/>
      <c r="BM61" s="151"/>
      <c r="BN61" s="151"/>
      <c r="BO61" s="151"/>
      <c r="BP61" s="151"/>
      <c r="BQ61" s="151"/>
      <c r="BR61" s="151"/>
    </row>
    <row r="62" s="75" customFormat="true" ht="45" hidden="false" customHeight="false" outlineLevel="0" collapsed="false">
      <c r="A62" s="141" t="s">
        <v>185</v>
      </c>
      <c r="B62" s="142" t="s">
        <v>1090</v>
      </c>
      <c r="C62" s="143" t="s">
        <v>1182</v>
      </c>
      <c r="D62" s="144"/>
      <c r="E62" s="144"/>
      <c r="F62" s="144"/>
      <c r="G62" s="145"/>
      <c r="H62" s="146" t="s">
        <v>1178</v>
      </c>
      <c r="I62" s="147" t="s">
        <v>88</v>
      </c>
      <c r="J62" s="148" t="s">
        <v>1178</v>
      </c>
      <c r="K62" s="149" t="s">
        <v>88</v>
      </c>
      <c r="L62" s="150" t="s">
        <v>1183</v>
      </c>
      <c r="M62" s="150" t="s">
        <v>1184</v>
      </c>
      <c r="N62" s="150" t="s">
        <v>1185</v>
      </c>
      <c r="O62" s="150" t="s">
        <v>1186</v>
      </c>
      <c r="P62" s="150" t="s">
        <v>1181</v>
      </c>
      <c r="Q62" s="150"/>
      <c r="R62" s="150"/>
      <c r="S62" s="150"/>
      <c r="T62" s="150"/>
      <c r="U62" s="150"/>
      <c r="V62" s="150"/>
      <c r="W62" s="150"/>
      <c r="X62" s="150"/>
      <c r="Y62" s="150"/>
      <c r="Z62" s="150"/>
      <c r="AA62" s="150"/>
      <c r="AB62" s="150"/>
      <c r="AC62" s="150"/>
      <c r="AD62" s="150"/>
      <c r="AE62" s="150"/>
      <c r="AF62" s="150"/>
      <c r="AG62" s="150"/>
      <c r="AH62" s="150"/>
      <c r="AI62" s="150"/>
      <c r="AJ62" s="150"/>
      <c r="AK62" s="150"/>
      <c r="AL62" s="150"/>
      <c r="AM62" s="150"/>
      <c r="AN62" s="150"/>
      <c r="AO62" s="150"/>
      <c r="AP62" s="150"/>
      <c r="AQ62" s="150"/>
      <c r="AR62" s="150"/>
      <c r="AS62" s="150"/>
      <c r="AT62" s="150"/>
      <c r="AU62" s="150"/>
      <c r="AV62" s="150"/>
      <c r="AW62" s="150"/>
      <c r="AX62" s="150"/>
      <c r="AY62" s="151"/>
      <c r="AZ62" s="151"/>
      <c r="BA62" s="151"/>
      <c r="BB62" s="151"/>
      <c r="BC62" s="151"/>
      <c r="BD62" s="151"/>
      <c r="BE62" s="151"/>
      <c r="BF62" s="151"/>
      <c r="BG62" s="151"/>
      <c r="BH62" s="151"/>
      <c r="BI62" s="151"/>
      <c r="BJ62" s="151"/>
      <c r="BK62" s="151"/>
      <c r="BL62" s="151"/>
      <c r="BM62" s="151"/>
      <c r="BN62" s="151"/>
      <c r="BO62" s="151"/>
      <c r="BP62" s="151"/>
      <c r="BQ62" s="151"/>
      <c r="BR62" s="151"/>
    </row>
    <row r="63" s="75" customFormat="true" ht="30" hidden="false" customHeight="false" outlineLevel="0" collapsed="false">
      <c r="A63" s="141" t="s">
        <v>190</v>
      </c>
      <c r="B63" s="142" t="s">
        <v>1090</v>
      </c>
      <c r="C63" s="143" t="s">
        <v>1187</v>
      </c>
      <c r="D63" s="144"/>
      <c r="E63" s="144"/>
      <c r="F63" s="144"/>
      <c r="G63" s="145"/>
      <c r="H63" s="146" t="s">
        <v>1178</v>
      </c>
      <c r="I63" s="147" t="s">
        <v>88</v>
      </c>
      <c r="J63" s="148" t="s">
        <v>1178</v>
      </c>
      <c r="K63" s="149" t="s">
        <v>88</v>
      </c>
      <c r="L63" s="150" t="s">
        <v>1188</v>
      </c>
      <c r="M63" s="150" t="s">
        <v>1189</v>
      </c>
      <c r="N63" s="150" t="s">
        <v>1181</v>
      </c>
      <c r="O63" s="150"/>
      <c r="P63" s="150"/>
      <c r="Q63" s="150"/>
      <c r="R63" s="150"/>
      <c r="S63" s="150"/>
      <c r="T63" s="150"/>
      <c r="U63" s="150"/>
      <c r="V63" s="150"/>
      <c r="W63" s="150"/>
      <c r="X63" s="150"/>
      <c r="Y63" s="150"/>
      <c r="Z63" s="150"/>
      <c r="AA63" s="150"/>
      <c r="AB63" s="150"/>
      <c r="AC63" s="150"/>
      <c r="AD63" s="150"/>
      <c r="AE63" s="150"/>
      <c r="AF63" s="150"/>
      <c r="AG63" s="150"/>
      <c r="AH63" s="150"/>
      <c r="AI63" s="150"/>
      <c r="AJ63" s="150"/>
      <c r="AK63" s="150"/>
      <c r="AL63" s="150"/>
      <c r="AM63" s="150"/>
      <c r="AN63" s="150"/>
      <c r="AO63" s="150"/>
      <c r="AP63" s="150"/>
      <c r="AQ63" s="150"/>
      <c r="AR63" s="150"/>
      <c r="AS63" s="150"/>
      <c r="AT63" s="150"/>
      <c r="AU63" s="150"/>
      <c r="AV63" s="150"/>
      <c r="AW63" s="150"/>
      <c r="AX63" s="150"/>
      <c r="AY63" s="151"/>
      <c r="AZ63" s="151"/>
      <c r="BA63" s="151"/>
      <c r="BB63" s="151"/>
      <c r="BC63" s="151"/>
      <c r="BD63" s="151"/>
      <c r="BE63" s="151"/>
      <c r="BF63" s="151"/>
      <c r="BG63" s="151"/>
      <c r="BH63" s="151"/>
      <c r="BI63" s="151"/>
      <c r="BJ63" s="151"/>
      <c r="BK63" s="151"/>
      <c r="BL63" s="151"/>
      <c r="BM63" s="151"/>
      <c r="BN63" s="151"/>
      <c r="BO63" s="151"/>
      <c r="BP63" s="151"/>
      <c r="BQ63" s="151"/>
      <c r="BR63" s="151"/>
    </row>
    <row r="64" s="75" customFormat="true" ht="45" hidden="false" customHeight="false" outlineLevel="0" collapsed="false">
      <c r="A64" s="141" t="s">
        <v>195</v>
      </c>
      <c r="B64" s="142" t="s">
        <v>1090</v>
      </c>
      <c r="C64" s="143" t="s">
        <v>1190</v>
      </c>
      <c r="D64" s="144"/>
      <c r="E64" s="144"/>
      <c r="F64" s="144"/>
      <c r="G64" s="145"/>
      <c r="H64" s="146" t="s">
        <v>231</v>
      </c>
      <c r="I64" s="147" t="s">
        <v>88</v>
      </c>
      <c r="J64" s="148" t="s">
        <v>231</v>
      </c>
      <c r="K64" s="149" t="s">
        <v>88</v>
      </c>
      <c r="L64" s="150" t="s">
        <v>1191</v>
      </c>
      <c r="M64" s="150" t="s">
        <v>1192</v>
      </c>
      <c r="N64" s="150" t="s">
        <v>1193</v>
      </c>
      <c r="O64" s="150" t="s">
        <v>1194</v>
      </c>
      <c r="P64" s="150" t="s">
        <v>1195</v>
      </c>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c r="AT64" s="150"/>
      <c r="AU64" s="150"/>
      <c r="AV64" s="150"/>
      <c r="AW64" s="150"/>
      <c r="AX64" s="150"/>
      <c r="AY64" s="151"/>
      <c r="AZ64" s="151"/>
      <c r="BA64" s="151"/>
      <c r="BB64" s="151"/>
      <c r="BC64" s="151"/>
      <c r="BD64" s="151"/>
      <c r="BE64" s="151"/>
      <c r="BF64" s="151"/>
      <c r="BG64" s="151"/>
      <c r="BH64" s="151"/>
      <c r="BI64" s="151"/>
      <c r="BJ64" s="151"/>
      <c r="BK64" s="151"/>
      <c r="BL64" s="151"/>
      <c r="BM64" s="151"/>
      <c r="BN64" s="151"/>
      <c r="BO64" s="151"/>
      <c r="BP64" s="151"/>
      <c r="BQ64" s="151"/>
      <c r="BR64" s="151"/>
    </row>
    <row r="65" s="75" customFormat="true" ht="30" hidden="false" customHeight="false" outlineLevel="0" collapsed="false">
      <c r="A65" s="141" t="s">
        <v>201</v>
      </c>
      <c r="B65" s="142" t="s">
        <v>1090</v>
      </c>
      <c r="C65" s="143" t="s">
        <v>1196</v>
      </c>
      <c r="D65" s="144"/>
      <c r="E65" s="144"/>
      <c r="F65" s="144"/>
      <c r="G65" s="145"/>
      <c r="H65" s="146" t="s">
        <v>1178</v>
      </c>
      <c r="I65" s="147" t="s">
        <v>88</v>
      </c>
      <c r="J65" s="148" t="s">
        <v>1178</v>
      </c>
      <c r="K65" s="149" t="s">
        <v>88</v>
      </c>
      <c r="L65" s="150" t="s">
        <v>1188</v>
      </c>
      <c r="M65" s="150" t="s">
        <v>1197</v>
      </c>
      <c r="N65" s="150" t="s">
        <v>1198</v>
      </c>
      <c r="O65" s="150" t="s">
        <v>1199</v>
      </c>
      <c r="P65" s="150" t="s">
        <v>1181</v>
      </c>
      <c r="Q65" s="150"/>
      <c r="R65" s="150"/>
      <c r="S65" s="150"/>
      <c r="T65" s="150"/>
      <c r="U65" s="150"/>
      <c r="V65" s="150"/>
      <c r="W65" s="150"/>
      <c r="X65" s="150"/>
      <c r="Y65" s="150"/>
      <c r="Z65" s="150"/>
      <c r="AA65" s="150"/>
      <c r="AB65" s="150"/>
      <c r="AC65" s="150"/>
      <c r="AD65" s="150"/>
      <c r="AE65" s="150"/>
      <c r="AF65" s="150"/>
      <c r="AG65" s="150"/>
      <c r="AH65" s="150"/>
      <c r="AI65" s="150"/>
      <c r="AJ65" s="150"/>
      <c r="AK65" s="150"/>
      <c r="AL65" s="150"/>
      <c r="AM65" s="150"/>
      <c r="AN65" s="150"/>
      <c r="AO65" s="150"/>
      <c r="AP65" s="150"/>
      <c r="AQ65" s="150"/>
      <c r="AR65" s="150"/>
      <c r="AS65" s="150"/>
      <c r="AT65" s="150"/>
      <c r="AU65" s="150"/>
      <c r="AV65" s="150"/>
      <c r="AW65" s="150"/>
      <c r="AX65" s="150"/>
      <c r="AY65" s="151"/>
      <c r="AZ65" s="151"/>
      <c r="BA65" s="151"/>
      <c r="BB65" s="151"/>
      <c r="BC65" s="151"/>
      <c r="BD65" s="151"/>
      <c r="BE65" s="151"/>
      <c r="BF65" s="151"/>
      <c r="BG65" s="151"/>
      <c r="BH65" s="151"/>
      <c r="BI65" s="151"/>
      <c r="BJ65" s="151"/>
      <c r="BK65" s="151"/>
      <c r="BL65" s="151"/>
      <c r="BM65" s="151"/>
      <c r="BN65" s="151"/>
      <c r="BO65" s="151"/>
      <c r="BP65" s="151"/>
      <c r="BQ65" s="151"/>
      <c r="BR65" s="151"/>
    </row>
    <row r="66" s="75" customFormat="true" ht="45" hidden="false" customHeight="false" outlineLevel="0" collapsed="false">
      <c r="A66" s="141" t="s">
        <v>206</v>
      </c>
      <c r="B66" s="142" t="s">
        <v>1090</v>
      </c>
      <c r="C66" s="143" t="s">
        <v>1200</v>
      </c>
      <c r="D66" s="144"/>
      <c r="E66" s="144"/>
      <c r="F66" s="144"/>
      <c r="G66" s="145"/>
      <c r="H66" s="146" t="s">
        <v>1178</v>
      </c>
      <c r="I66" s="147" t="s">
        <v>88</v>
      </c>
      <c r="J66" s="148" t="s">
        <v>1178</v>
      </c>
      <c r="K66" s="149" t="s">
        <v>88</v>
      </c>
      <c r="L66" s="150" t="s">
        <v>1201</v>
      </c>
      <c r="M66" s="150" t="s">
        <v>1202</v>
      </c>
      <c r="N66" s="150" t="s">
        <v>1181</v>
      </c>
      <c r="O66" s="150"/>
      <c r="P66" s="150"/>
      <c r="Q66" s="150"/>
      <c r="R66" s="150"/>
      <c r="S66" s="150"/>
      <c r="T66" s="150"/>
      <c r="U66" s="150"/>
      <c r="V66" s="150"/>
      <c r="W66" s="150"/>
      <c r="X66" s="150"/>
      <c r="Y66" s="150"/>
      <c r="Z66" s="150"/>
      <c r="AA66" s="150"/>
      <c r="AB66" s="150"/>
      <c r="AC66" s="150"/>
      <c r="AD66" s="150"/>
      <c r="AE66" s="150"/>
      <c r="AF66" s="150"/>
      <c r="AG66" s="150"/>
      <c r="AH66" s="150"/>
      <c r="AI66" s="150"/>
      <c r="AJ66" s="150"/>
      <c r="AK66" s="150"/>
      <c r="AL66" s="150"/>
      <c r="AM66" s="150"/>
      <c r="AN66" s="150"/>
      <c r="AO66" s="150"/>
      <c r="AP66" s="150"/>
      <c r="AQ66" s="150"/>
      <c r="AR66" s="150"/>
      <c r="AS66" s="150"/>
      <c r="AT66" s="150"/>
      <c r="AU66" s="150"/>
      <c r="AV66" s="150"/>
      <c r="AW66" s="150"/>
      <c r="AX66" s="150"/>
      <c r="AY66" s="151"/>
      <c r="AZ66" s="151"/>
      <c r="BA66" s="151"/>
      <c r="BB66" s="151"/>
      <c r="BC66" s="151"/>
      <c r="BD66" s="151"/>
      <c r="BE66" s="151"/>
      <c r="BF66" s="151"/>
      <c r="BG66" s="151"/>
      <c r="BH66" s="151"/>
      <c r="BI66" s="151"/>
      <c r="BJ66" s="151"/>
      <c r="BK66" s="151"/>
      <c r="BL66" s="151"/>
      <c r="BM66" s="151"/>
      <c r="BN66" s="151"/>
      <c r="BO66" s="151"/>
      <c r="BP66" s="151"/>
      <c r="BQ66" s="151"/>
      <c r="BR66" s="151"/>
    </row>
    <row r="67" s="75" customFormat="true" ht="15" hidden="false" customHeight="false" outlineLevel="0" collapsed="false">
      <c r="A67" s="141"/>
      <c r="B67" s="142"/>
      <c r="C67" s="143"/>
      <c r="D67" s="144"/>
      <c r="E67" s="144"/>
      <c r="F67" s="144"/>
      <c r="G67" s="145"/>
      <c r="H67" s="146"/>
      <c r="I67" s="147"/>
      <c r="J67" s="148"/>
      <c r="K67" s="149"/>
      <c r="L67" s="150"/>
      <c r="M67" s="150"/>
      <c r="N67" s="150"/>
      <c r="O67" s="150"/>
      <c r="P67" s="150"/>
      <c r="Q67" s="150"/>
      <c r="R67" s="150"/>
      <c r="S67" s="150"/>
      <c r="T67" s="150"/>
      <c r="U67" s="150"/>
      <c r="V67" s="150"/>
      <c r="W67" s="150"/>
      <c r="X67" s="150"/>
      <c r="Y67" s="150"/>
      <c r="Z67" s="150"/>
      <c r="AA67" s="150"/>
      <c r="AB67" s="150"/>
      <c r="AC67" s="150"/>
      <c r="AD67" s="150"/>
      <c r="AE67" s="150"/>
      <c r="AF67" s="150"/>
      <c r="AG67" s="150"/>
      <c r="AH67" s="150"/>
      <c r="AI67" s="150"/>
      <c r="AJ67" s="150"/>
      <c r="AK67" s="150"/>
      <c r="AL67" s="150"/>
      <c r="AM67" s="150"/>
      <c r="AN67" s="150"/>
      <c r="AO67" s="150"/>
      <c r="AP67" s="150"/>
      <c r="AQ67" s="150"/>
      <c r="AR67" s="150"/>
      <c r="AS67" s="150"/>
      <c r="AT67" s="150"/>
      <c r="AU67" s="150"/>
      <c r="AV67" s="150"/>
      <c r="AW67" s="150"/>
      <c r="AX67" s="150"/>
      <c r="AY67" s="151"/>
      <c r="AZ67" s="151"/>
      <c r="BA67" s="151"/>
      <c r="BB67" s="151"/>
      <c r="BC67" s="151"/>
      <c r="BD67" s="151"/>
      <c r="BE67" s="151"/>
      <c r="BF67" s="151"/>
      <c r="BG67" s="151"/>
      <c r="BH67" s="151"/>
      <c r="BI67" s="151"/>
      <c r="BJ67" s="151"/>
      <c r="BK67" s="151"/>
      <c r="BL67" s="151"/>
      <c r="BM67" s="151"/>
      <c r="BN67" s="151"/>
      <c r="BO67" s="151"/>
      <c r="BP67" s="151"/>
      <c r="BQ67" s="151"/>
      <c r="BR67" s="151"/>
    </row>
    <row r="68" s="75" customFormat="true" ht="30" hidden="false" customHeight="false" outlineLevel="0" collapsed="false">
      <c r="A68" s="141" t="s">
        <v>211</v>
      </c>
      <c r="B68" s="142" t="s">
        <v>1152</v>
      </c>
      <c r="C68" s="143" t="s">
        <v>1203</v>
      </c>
      <c r="D68" s="144" t="s">
        <v>1153</v>
      </c>
      <c r="E68" s="144" t="s">
        <v>1153</v>
      </c>
      <c r="F68" s="144" t="s">
        <v>1089</v>
      </c>
      <c r="G68" s="145" t="s">
        <v>1153</v>
      </c>
      <c r="H68" s="146" t="s">
        <v>213</v>
      </c>
      <c r="I68" s="147" t="s">
        <v>82</v>
      </c>
      <c r="J68" s="148" t="s">
        <v>213</v>
      </c>
      <c r="K68" s="149" t="s">
        <v>82</v>
      </c>
      <c r="L68" s="150" t="s">
        <v>1204</v>
      </c>
      <c r="M68" s="150"/>
      <c r="N68" s="150"/>
      <c r="O68" s="150"/>
      <c r="P68" s="150"/>
      <c r="Q68" s="150"/>
      <c r="R68" s="150"/>
      <c r="S68" s="150"/>
      <c r="T68" s="150"/>
      <c r="U68" s="150"/>
      <c r="V68" s="150"/>
      <c r="W68" s="150"/>
      <c r="X68" s="150"/>
      <c r="Y68" s="150"/>
      <c r="Z68" s="150"/>
      <c r="AA68" s="150"/>
      <c r="AB68" s="150"/>
      <c r="AC68" s="150"/>
      <c r="AD68" s="150"/>
      <c r="AE68" s="150"/>
      <c r="AF68" s="150"/>
      <c r="AG68" s="150"/>
      <c r="AH68" s="150"/>
      <c r="AI68" s="150"/>
      <c r="AJ68" s="150"/>
      <c r="AK68" s="150"/>
      <c r="AL68" s="150"/>
      <c r="AM68" s="150"/>
      <c r="AN68" s="150"/>
      <c r="AO68" s="150"/>
      <c r="AP68" s="150"/>
      <c r="AQ68" s="150"/>
      <c r="AR68" s="150"/>
      <c r="AS68" s="150"/>
      <c r="AT68" s="150"/>
      <c r="AU68" s="150"/>
      <c r="AV68" s="150"/>
      <c r="AW68" s="150"/>
      <c r="AX68" s="150"/>
      <c r="AY68" s="151"/>
      <c r="AZ68" s="151"/>
      <c r="BA68" s="151"/>
      <c r="BB68" s="151"/>
      <c r="BC68" s="151"/>
      <c r="BD68" s="151"/>
      <c r="BE68" s="151"/>
      <c r="BF68" s="151"/>
      <c r="BG68" s="151"/>
      <c r="BH68" s="151"/>
      <c r="BI68" s="151"/>
      <c r="BJ68" s="151"/>
      <c r="BK68" s="151"/>
      <c r="BL68" s="151"/>
      <c r="BM68" s="151"/>
      <c r="BN68" s="151"/>
      <c r="BO68" s="151"/>
      <c r="BP68" s="151"/>
      <c r="BQ68" s="151"/>
      <c r="BR68" s="151"/>
    </row>
    <row r="69" s="75" customFormat="true" ht="15" hidden="false" customHeight="false" outlineLevel="0" collapsed="false">
      <c r="A69" s="141"/>
      <c r="B69" s="142"/>
      <c r="C69" s="143"/>
      <c r="D69" s="144"/>
      <c r="E69" s="144"/>
      <c r="F69" s="144"/>
      <c r="G69" s="145"/>
      <c r="H69" s="146"/>
      <c r="I69" s="147"/>
      <c r="J69" s="148"/>
      <c r="K69" s="149"/>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1"/>
      <c r="AZ69" s="151"/>
      <c r="BA69" s="151"/>
      <c r="BB69" s="151"/>
      <c r="BC69" s="151"/>
      <c r="BD69" s="151"/>
      <c r="BE69" s="151"/>
      <c r="BF69" s="151"/>
      <c r="BG69" s="151"/>
      <c r="BH69" s="151"/>
      <c r="BI69" s="151"/>
      <c r="BJ69" s="151"/>
      <c r="BK69" s="151"/>
      <c r="BL69" s="151"/>
      <c r="BM69" s="151"/>
      <c r="BN69" s="151"/>
      <c r="BO69" s="151"/>
      <c r="BP69" s="151"/>
      <c r="BQ69" s="151"/>
      <c r="BR69" s="151"/>
    </row>
    <row r="70" s="75" customFormat="true" ht="30" hidden="false" customHeight="false" outlineLevel="0" collapsed="false">
      <c r="A70" s="141" t="s">
        <v>218</v>
      </c>
      <c r="B70" s="142" t="s">
        <v>1152</v>
      </c>
      <c r="C70" s="143" t="s">
        <v>1205</v>
      </c>
      <c r="D70" s="144" t="s">
        <v>1153</v>
      </c>
      <c r="E70" s="144" t="s">
        <v>1153</v>
      </c>
      <c r="F70" s="144" t="s">
        <v>1087</v>
      </c>
      <c r="G70" s="145" t="s">
        <v>1153</v>
      </c>
      <c r="H70" s="146" t="s">
        <v>81</v>
      </c>
      <c r="I70" s="147" t="s">
        <v>82</v>
      </c>
      <c r="J70" s="148" t="s">
        <v>81</v>
      </c>
      <c r="K70" s="149" t="s">
        <v>82</v>
      </c>
      <c r="L70" s="150"/>
      <c r="M70" s="150"/>
      <c r="N70" s="150"/>
      <c r="O70" s="150"/>
      <c r="P70" s="150"/>
      <c r="Q70" s="150"/>
      <c r="R70" s="150"/>
      <c r="S70" s="150"/>
      <c r="T70" s="150"/>
      <c r="U70" s="150"/>
      <c r="V70" s="150"/>
      <c r="W70" s="150"/>
      <c r="X70" s="150"/>
      <c r="Y70" s="150"/>
      <c r="Z70" s="150"/>
      <c r="AA70" s="150"/>
      <c r="AB70" s="150"/>
      <c r="AC70" s="150"/>
      <c r="AD70" s="150"/>
      <c r="AE70" s="150"/>
      <c r="AF70" s="150"/>
      <c r="AG70" s="150"/>
      <c r="AH70" s="150"/>
      <c r="AI70" s="150"/>
      <c r="AJ70" s="150"/>
      <c r="AK70" s="150"/>
      <c r="AL70" s="150"/>
      <c r="AM70" s="150"/>
      <c r="AN70" s="150"/>
      <c r="AO70" s="150"/>
      <c r="AP70" s="150"/>
      <c r="AQ70" s="150"/>
      <c r="AR70" s="150"/>
      <c r="AS70" s="150"/>
      <c r="AT70" s="150"/>
      <c r="AU70" s="150"/>
      <c r="AV70" s="150"/>
      <c r="AW70" s="150"/>
      <c r="AX70" s="150"/>
      <c r="AY70" s="151"/>
      <c r="AZ70" s="151"/>
      <c r="BA70" s="151"/>
      <c r="BB70" s="151"/>
      <c r="BC70" s="151"/>
      <c r="BD70" s="151"/>
      <c r="BE70" s="151"/>
      <c r="BF70" s="151"/>
      <c r="BG70" s="151"/>
      <c r="BH70" s="151"/>
      <c r="BI70" s="151"/>
      <c r="BJ70" s="151"/>
      <c r="BK70" s="151"/>
      <c r="BL70" s="151"/>
      <c r="BM70" s="151"/>
      <c r="BN70" s="151"/>
      <c r="BO70" s="151"/>
      <c r="BP70" s="151"/>
      <c r="BQ70" s="151"/>
      <c r="BR70" s="151"/>
    </row>
    <row r="71" s="75" customFormat="true" ht="15" hidden="false" customHeight="false" outlineLevel="0" collapsed="false">
      <c r="A71" s="141"/>
      <c r="B71" s="142"/>
      <c r="C71" s="143"/>
      <c r="D71" s="144"/>
      <c r="E71" s="144"/>
      <c r="F71" s="144"/>
      <c r="G71" s="145"/>
      <c r="H71" s="146"/>
      <c r="I71" s="147"/>
      <c r="J71" s="148"/>
      <c r="K71" s="149"/>
      <c r="L71" s="150"/>
      <c r="M71" s="150"/>
      <c r="N71" s="150"/>
      <c r="O71" s="150"/>
      <c r="P71" s="150"/>
      <c r="Q71" s="150"/>
      <c r="R71" s="150"/>
      <c r="S71" s="150"/>
      <c r="T71" s="150"/>
      <c r="U71" s="150"/>
      <c r="V71" s="150"/>
      <c r="W71" s="150"/>
      <c r="X71" s="150"/>
      <c r="Y71" s="150"/>
      <c r="Z71" s="150"/>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1"/>
      <c r="AZ71" s="151"/>
      <c r="BA71" s="151"/>
      <c r="BB71" s="151"/>
      <c r="BC71" s="151"/>
      <c r="BD71" s="151"/>
      <c r="BE71" s="151"/>
      <c r="BF71" s="151"/>
      <c r="BG71" s="151"/>
      <c r="BH71" s="151"/>
      <c r="BI71" s="151"/>
      <c r="BJ71" s="151"/>
      <c r="BK71" s="151"/>
      <c r="BL71" s="151"/>
      <c r="BM71" s="151"/>
      <c r="BN71" s="151"/>
      <c r="BO71" s="151"/>
      <c r="BP71" s="151"/>
      <c r="BQ71" s="151"/>
      <c r="BR71" s="151"/>
    </row>
    <row r="72" s="75" customFormat="true" ht="15" hidden="false" customHeight="false" outlineLevel="0" collapsed="false">
      <c r="A72" s="141" t="s">
        <v>225</v>
      </c>
      <c r="B72" s="142" t="s">
        <v>1152</v>
      </c>
      <c r="C72" s="143" t="s">
        <v>1206</v>
      </c>
      <c r="D72" s="144" t="s">
        <v>1153</v>
      </c>
      <c r="E72" s="144" t="s">
        <v>1153</v>
      </c>
      <c r="F72" s="152" t="s">
        <v>1089</v>
      </c>
      <c r="G72" s="145" t="s">
        <v>1153</v>
      </c>
      <c r="H72" s="146" t="s">
        <v>81</v>
      </c>
      <c r="I72" s="147" t="s">
        <v>82</v>
      </c>
      <c r="J72" s="148" t="s">
        <v>81</v>
      </c>
      <c r="K72" s="149" t="s">
        <v>82</v>
      </c>
      <c r="L72" s="150"/>
      <c r="M72" s="150"/>
      <c r="N72" s="150"/>
      <c r="O72" s="150"/>
      <c r="P72" s="150"/>
      <c r="Q72" s="150"/>
      <c r="R72" s="150"/>
      <c r="S72" s="150"/>
      <c r="T72" s="150"/>
      <c r="U72" s="150"/>
      <c r="V72" s="150"/>
      <c r="W72" s="150"/>
      <c r="X72" s="150"/>
      <c r="Y72" s="150"/>
      <c r="Z72" s="150"/>
      <c r="AA72" s="150"/>
      <c r="AB72" s="150"/>
      <c r="AC72" s="150"/>
      <c r="AD72" s="150"/>
      <c r="AE72" s="150"/>
      <c r="AF72" s="150"/>
      <c r="AG72" s="150"/>
      <c r="AH72" s="150"/>
      <c r="AI72" s="150"/>
      <c r="AJ72" s="150"/>
      <c r="AK72" s="150"/>
      <c r="AL72" s="150"/>
      <c r="AM72" s="150"/>
      <c r="AN72" s="150"/>
      <c r="AO72" s="150"/>
      <c r="AP72" s="150"/>
      <c r="AQ72" s="150"/>
      <c r="AR72" s="150"/>
      <c r="AS72" s="150"/>
      <c r="AT72" s="150"/>
      <c r="AU72" s="150"/>
      <c r="AV72" s="150"/>
      <c r="AW72" s="150"/>
      <c r="AX72" s="150"/>
      <c r="AY72" s="151"/>
      <c r="AZ72" s="151"/>
      <c r="BA72" s="151"/>
      <c r="BB72" s="151"/>
      <c r="BC72" s="151"/>
      <c r="BD72" s="151"/>
      <c r="BE72" s="151"/>
      <c r="BF72" s="151"/>
      <c r="BG72" s="151"/>
      <c r="BH72" s="151"/>
      <c r="BI72" s="151"/>
      <c r="BJ72" s="151"/>
      <c r="BK72" s="151"/>
      <c r="BL72" s="151"/>
      <c r="BM72" s="151"/>
      <c r="BN72" s="151"/>
      <c r="BO72" s="151"/>
      <c r="BP72" s="151"/>
      <c r="BQ72" s="151"/>
      <c r="BR72" s="151"/>
    </row>
    <row r="73" s="75" customFormat="true" ht="15" hidden="false" customHeight="false" outlineLevel="0" collapsed="false">
      <c r="A73" s="141" t="s">
        <v>227</v>
      </c>
      <c r="B73" s="142" t="s">
        <v>1152</v>
      </c>
      <c r="C73" s="143" t="s">
        <v>1207</v>
      </c>
      <c r="D73" s="144" t="s">
        <v>1153</v>
      </c>
      <c r="E73" s="144" t="s">
        <v>1153</v>
      </c>
      <c r="F73" s="152" t="s">
        <v>1089</v>
      </c>
      <c r="G73" s="145" t="s">
        <v>1153</v>
      </c>
      <c r="H73" s="146" t="s">
        <v>81</v>
      </c>
      <c r="I73" s="147" t="s">
        <v>82</v>
      </c>
      <c r="J73" s="148" t="s">
        <v>81</v>
      </c>
      <c r="K73" s="149" t="s">
        <v>82</v>
      </c>
      <c r="L73" s="150"/>
      <c r="M73" s="150"/>
      <c r="N73" s="150"/>
      <c r="O73" s="150"/>
      <c r="P73" s="150"/>
      <c r="Q73" s="150"/>
      <c r="R73" s="150"/>
      <c r="S73" s="150"/>
      <c r="T73" s="150"/>
      <c r="U73" s="150"/>
      <c r="V73" s="150"/>
      <c r="W73" s="150"/>
      <c r="X73" s="150"/>
      <c r="Y73" s="150"/>
      <c r="Z73" s="150"/>
      <c r="AA73" s="150"/>
      <c r="AB73" s="150"/>
      <c r="AC73" s="150"/>
      <c r="AD73" s="150"/>
      <c r="AE73" s="150"/>
      <c r="AF73" s="150"/>
      <c r="AG73" s="150"/>
      <c r="AH73" s="150"/>
      <c r="AI73" s="150"/>
      <c r="AJ73" s="150"/>
      <c r="AK73" s="150"/>
      <c r="AL73" s="150"/>
      <c r="AM73" s="150"/>
      <c r="AN73" s="150"/>
      <c r="AO73" s="150"/>
      <c r="AP73" s="150"/>
      <c r="AQ73" s="150"/>
      <c r="AR73" s="150"/>
      <c r="AS73" s="150"/>
      <c r="AT73" s="150"/>
      <c r="AU73" s="150"/>
      <c r="AV73" s="150"/>
      <c r="AW73" s="150"/>
      <c r="AX73" s="150"/>
      <c r="AY73" s="151"/>
      <c r="AZ73" s="151"/>
      <c r="BA73" s="151"/>
      <c r="BB73" s="151"/>
      <c r="BC73" s="151"/>
      <c r="BD73" s="151"/>
      <c r="BE73" s="151"/>
      <c r="BF73" s="151"/>
      <c r="BG73" s="151"/>
      <c r="BH73" s="151"/>
      <c r="BI73" s="151"/>
      <c r="BJ73" s="151"/>
      <c r="BK73" s="151"/>
      <c r="BL73" s="151"/>
      <c r="BM73" s="151"/>
      <c r="BN73" s="151"/>
      <c r="BO73" s="151"/>
      <c r="BP73" s="151"/>
      <c r="BQ73" s="151"/>
      <c r="BR73" s="151"/>
    </row>
    <row r="74" s="75" customFormat="true" ht="15" hidden="false" customHeight="false" outlineLevel="0" collapsed="false">
      <c r="A74" s="141"/>
      <c r="B74" s="142"/>
      <c r="C74" s="143"/>
      <c r="D74" s="144"/>
      <c r="E74" s="144"/>
      <c r="F74" s="144"/>
      <c r="G74" s="145"/>
      <c r="H74" s="146"/>
      <c r="I74" s="147"/>
      <c r="J74" s="148"/>
      <c r="K74" s="149"/>
      <c r="L74" s="150"/>
      <c r="M74" s="150"/>
      <c r="N74" s="150"/>
      <c r="O74" s="150"/>
      <c r="P74" s="150"/>
      <c r="Q74" s="150"/>
      <c r="R74" s="150"/>
      <c r="S74" s="150"/>
      <c r="T74" s="150"/>
      <c r="U74" s="150"/>
      <c r="V74" s="150"/>
      <c r="W74" s="150"/>
      <c r="X74" s="150"/>
      <c r="Y74" s="150"/>
      <c r="Z74" s="150"/>
      <c r="AA74" s="150"/>
      <c r="AB74" s="150"/>
      <c r="AC74" s="150"/>
      <c r="AD74" s="150"/>
      <c r="AE74" s="150"/>
      <c r="AF74" s="150"/>
      <c r="AG74" s="150"/>
      <c r="AH74" s="150"/>
      <c r="AI74" s="150"/>
      <c r="AJ74" s="150"/>
      <c r="AK74" s="150"/>
      <c r="AL74" s="150"/>
      <c r="AM74" s="150"/>
      <c r="AN74" s="150"/>
      <c r="AO74" s="150"/>
      <c r="AP74" s="150"/>
      <c r="AQ74" s="150"/>
      <c r="AR74" s="150"/>
      <c r="AS74" s="150"/>
      <c r="AT74" s="150"/>
      <c r="AU74" s="150"/>
      <c r="AV74" s="150"/>
      <c r="AW74" s="150"/>
      <c r="AX74" s="150"/>
      <c r="AY74" s="151"/>
      <c r="AZ74" s="151"/>
      <c r="BA74" s="151"/>
      <c r="BB74" s="151"/>
      <c r="BC74" s="151"/>
      <c r="BD74" s="151"/>
      <c r="BE74" s="151"/>
      <c r="BF74" s="151"/>
      <c r="BG74" s="151"/>
      <c r="BH74" s="151"/>
      <c r="BI74" s="151"/>
      <c r="BJ74" s="151"/>
      <c r="BK74" s="151"/>
      <c r="BL74" s="151"/>
      <c r="BM74" s="151"/>
      <c r="BN74" s="151"/>
      <c r="BO74" s="151"/>
      <c r="BP74" s="151"/>
      <c r="BQ74" s="151"/>
      <c r="BR74" s="151"/>
    </row>
    <row r="75" s="75" customFormat="true" ht="30" hidden="false" customHeight="false" outlineLevel="0" collapsed="false">
      <c r="A75" s="141" t="s">
        <v>229</v>
      </c>
      <c r="B75" s="142" t="s">
        <v>1090</v>
      </c>
      <c r="C75" s="143" t="s">
        <v>1208</v>
      </c>
      <c r="D75" s="144"/>
      <c r="E75" s="144"/>
      <c r="F75" s="144"/>
      <c r="G75" s="145"/>
      <c r="H75" s="146" t="s">
        <v>231</v>
      </c>
      <c r="I75" s="147" t="s">
        <v>88</v>
      </c>
      <c r="J75" s="148" t="s">
        <v>231</v>
      </c>
      <c r="K75" s="149" t="s">
        <v>88</v>
      </c>
      <c r="L75" s="150" t="s">
        <v>1209</v>
      </c>
      <c r="M75" s="150" t="s">
        <v>1210</v>
      </c>
      <c r="N75" s="150" t="s">
        <v>1211</v>
      </c>
      <c r="O75" s="150" t="s">
        <v>1212</v>
      </c>
      <c r="P75" s="150" t="s">
        <v>1213</v>
      </c>
      <c r="Q75" s="150" t="s">
        <v>1214</v>
      </c>
      <c r="R75" s="150" t="s">
        <v>1215</v>
      </c>
      <c r="S75" s="150" t="s">
        <v>1216</v>
      </c>
      <c r="T75" s="150" t="s">
        <v>1195</v>
      </c>
      <c r="U75" s="150"/>
      <c r="V75" s="150"/>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1"/>
      <c r="AZ75" s="151"/>
      <c r="BA75" s="151"/>
      <c r="BB75" s="151"/>
      <c r="BC75" s="151"/>
      <c r="BD75" s="151"/>
      <c r="BE75" s="151"/>
      <c r="BF75" s="151"/>
      <c r="BG75" s="151"/>
      <c r="BH75" s="151"/>
      <c r="BI75" s="151"/>
      <c r="BJ75" s="151"/>
      <c r="BK75" s="151"/>
      <c r="BL75" s="151"/>
      <c r="BM75" s="151"/>
      <c r="BN75" s="151"/>
      <c r="BO75" s="151"/>
      <c r="BP75" s="151"/>
      <c r="BQ75" s="151"/>
      <c r="BR75" s="151"/>
    </row>
    <row r="76" s="75" customFormat="true" ht="15" hidden="false" customHeight="false" outlineLevel="0" collapsed="false">
      <c r="A76" s="141"/>
      <c r="B76" s="142"/>
      <c r="C76" s="143"/>
      <c r="D76" s="144"/>
      <c r="E76" s="144"/>
      <c r="F76" s="144"/>
      <c r="G76" s="145"/>
      <c r="H76" s="146"/>
      <c r="I76" s="147"/>
      <c r="J76" s="148"/>
      <c r="K76" s="149"/>
      <c r="L76" s="150"/>
      <c r="M76" s="150"/>
      <c r="N76" s="150"/>
      <c r="O76" s="150"/>
      <c r="P76" s="150"/>
      <c r="Q76" s="150"/>
      <c r="R76" s="150"/>
      <c r="S76" s="150"/>
      <c r="T76" s="150"/>
      <c r="U76" s="150"/>
      <c r="V76" s="150"/>
      <c r="W76" s="150"/>
      <c r="X76" s="150"/>
      <c r="Y76" s="150"/>
      <c r="Z76" s="150"/>
      <c r="AA76" s="150"/>
      <c r="AB76" s="150"/>
      <c r="AC76" s="150"/>
      <c r="AD76" s="150"/>
      <c r="AE76" s="150"/>
      <c r="AF76" s="150"/>
      <c r="AG76" s="150"/>
      <c r="AH76" s="150"/>
      <c r="AI76" s="150"/>
      <c r="AJ76" s="150"/>
      <c r="AK76" s="150"/>
      <c r="AL76" s="150"/>
      <c r="AM76" s="150"/>
      <c r="AN76" s="150"/>
      <c r="AO76" s="150"/>
      <c r="AP76" s="150"/>
      <c r="AQ76" s="150"/>
      <c r="AR76" s="150"/>
      <c r="AS76" s="150"/>
      <c r="AT76" s="150"/>
      <c r="AU76" s="150"/>
      <c r="AV76" s="150"/>
      <c r="AW76" s="150"/>
      <c r="AX76" s="150"/>
      <c r="AY76" s="151"/>
      <c r="AZ76" s="151"/>
      <c r="BA76" s="151"/>
      <c r="BB76" s="151"/>
      <c r="BC76" s="151"/>
      <c r="BD76" s="151"/>
      <c r="BE76" s="151"/>
      <c r="BF76" s="151"/>
      <c r="BG76" s="151"/>
      <c r="BH76" s="151"/>
      <c r="BI76" s="151"/>
      <c r="BJ76" s="151"/>
      <c r="BK76" s="151"/>
      <c r="BL76" s="151"/>
      <c r="BM76" s="151"/>
      <c r="BN76" s="151"/>
      <c r="BO76" s="151"/>
      <c r="BP76" s="151"/>
      <c r="BQ76" s="151"/>
      <c r="BR76" s="151"/>
    </row>
    <row r="77" s="75" customFormat="true" ht="15" hidden="false" customHeight="false" outlineLevel="0" collapsed="false">
      <c r="A77" s="141" t="s">
        <v>232</v>
      </c>
      <c r="B77" s="142" t="s">
        <v>1152</v>
      </c>
      <c r="C77" s="143" t="s">
        <v>1217</v>
      </c>
      <c r="D77" s="144" t="s">
        <v>1153</v>
      </c>
      <c r="E77" s="144" t="s">
        <v>1153</v>
      </c>
      <c r="F77" s="152" t="s">
        <v>1089</v>
      </c>
      <c r="G77" s="145" t="s">
        <v>1153</v>
      </c>
      <c r="H77" s="146" t="s">
        <v>81</v>
      </c>
      <c r="I77" s="147" t="s">
        <v>82</v>
      </c>
      <c r="J77" s="148" t="s">
        <v>81</v>
      </c>
      <c r="K77" s="149" t="s">
        <v>82</v>
      </c>
      <c r="L77" s="150"/>
      <c r="M77" s="150"/>
      <c r="N77" s="150"/>
      <c r="O77" s="150"/>
      <c r="P77" s="150"/>
      <c r="Q77" s="150"/>
      <c r="R77" s="150"/>
      <c r="S77" s="150"/>
      <c r="T77" s="150"/>
      <c r="U77" s="150"/>
      <c r="V77" s="150"/>
      <c r="W77" s="150"/>
      <c r="X77" s="150"/>
      <c r="Y77" s="150"/>
      <c r="Z77" s="150"/>
      <c r="AA77" s="150"/>
      <c r="AB77" s="150"/>
      <c r="AC77" s="150"/>
      <c r="AD77" s="150"/>
      <c r="AE77" s="150"/>
      <c r="AF77" s="150"/>
      <c r="AG77" s="150"/>
      <c r="AH77" s="150"/>
      <c r="AI77" s="150"/>
      <c r="AJ77" s="150"/>
      <c r="AK77" s="150"/>
      <c r="AL77" s="150"/>
      <c r="AM77" s="150"/>
      <c r="AN77" s="150"/>
      <c r="AO77" s="150"/>
      <c r="AP77" s="150"/>
      <c r="AQ77" s="150"/>
      <c r="AR77" s="150"/>
      <c r="AS77" s="150"/>
      <c r="AT77" s="150"/>
      <c r="AU77" s="150"/>
      <c r="AV77" s="150"/>
      <c r="AW77" s="150"/>
      <c r="AX77" s="150"/>
      <c r="AY77" s="151"/>
      <c r="AZ77" s="151"/>
      <c r="BA77" s="151"/>
      <c r="BB77" s="151"/>
      <c r="BC77" s="151"/>
      <c r="BD77" s="151"/>
      <c r="BE77" s="151"/>
      <c r="BF77" s="151"/>
      <c r="BG77" s="151"/>
      <c r="BH77" s="151"/>
      <c r="BI77" s="151"/>
      <c r="BJ77" s="151"/>
      <c r="BK77" s="151"/>
      <c r="BL77" s="151"/>
      <c r="BM77" s="151"/>
      <c r="BN77" s="151"/>
      <c r="BO77" s="151"/>
      <c r="BP77" s="151"/>
      <c r="BQ77" s="151"/>
      <c r="BR77" s="151"/>
    </row>
    <row r="78" s="75" customFormat="true" ht="15" hidden="false" customHeight="false" outlineLevel="0" collapsed="false">
      <c r="A78" s="141" t="s">
        <v>234</v>
      </c>
      <c r="B78" s="142" t="s">
        <v>1152</v>
      </c>
      <c r="C78" s="143" t="s">
        <v>1218</v>
      </c>
      <c r="D78" s="144" t="s">
        <v>1153</v>
      </c>
      <c r="E78" s="144" t="s">
        <v>1153</v>
      </c>
      <c r="F78" s="152" t="s">
        <v>1089</v>
      </c>
      <c r="G78" s="145" t="s">
        <v>1153</v>
      </c>
      <c r="H78" s="146" t="s">
        <v>81</v>
      </c>
      <c r="I78" s="147" t="s">
        <v>82</v>
      </c>
      <c r="J78" s="148" t="s">
        <v>81</v>
      </c>
      <c r="K78" s="149" t="s">
        <v>82</v>
      </c>
      <c r="L78" s="150"/>
      <c r="M78" s="150"/>
      <c r="N78" s="150"/>
      <c r="O78" s="150"/>
      <c r="P78" s="150"/>
      <c r="Q78" s="150"/>
      <c r="R78" s="150"/>
      <c r="S78" s="150"/>
      <c r="T78" s="150"/>
      <c r="U78" s="150"/>
      <c r="V78" s="150"/>
      <c r="W78" s="150"/>
      <c r="X78" s="150"/>
      <c r="Y78" s="150"/>
      <c r="Z78" s="150"/>
      <c r="AA78" s="150"/>
      <c r="AB78" s="150"/>
      <c r="AC78" s="150"/>
      <c r="AD78" s="150"/>
      <c r="AE78" s="150"/>
      <c r="AF78" s="150"/>
      <c r="AG78" s="150"/>
      <c r="AH78" s="150"/>
      <c r="AI78" s="150"/>
      <c r="AJ78" s="150"/>
      <c r="AK78" s="150"/>
      <c r="AL78" s="150"/>
      <c r="AM78" s="150"/>
      <c r="AN78" s="150"/>
      <c r="AO78" s="150"/>
      <c r="AP78" s="150"/>
      <c r="AQ78" s="150"/>
      <c r="AR78" s="150"/>
      <c r="AS78" s="150"/>
      <c r="AT78" s="150"/>
      <c r="AU78" s="150"/>
      <c r="AV78" s="150"/>
      <c r="AW78" s="150"/>
      <c r="AX78" s="150"/>
      <c r="AY78" s="151"/>
      <c r="AZ78" s="151"/>
      <c r="BA78" s="151"/>
      <c r="BB78" s="151"/>
      <c r="BC78" s="151"/>
      <c r="BD78" s="151"/>
      <c r="BE78" s="151"/>
      <c r="BF78" s="151"/>
      <c r="BG78" s="151"/>
      <c r="BH78" s="151"/>
      <c r="BI78" s="151"/>
      <c r="BJ78" s="151"/>
      <c r="BK78" s="151"/>
      <c r="BL78" s="151"/>
      <c r="BM78" s="151"/>
      <c r="BN78" s="151"/>
      <c r="BO78" s="151"/>
      <c r="BP78" s="151"/>
      <c r="BQ78" s="151"/>
      <c r="BR78" s="151"/>
    </row>
    <row r="79" s="75" customFormat="true" ht="15" hidden="false" customHeight="false" outlineLevel="0" collapsed="false">
      <c r="A79" s="141" t="s">
        <v>236</v>
      </c>
      <c r="B79" s="142" t="s">
        <v>1152</v>
      </c>
      <c r="C79" s="143" t="s">
        <v>1219</v>
      </c>
      <c r="D79" s="144" t="s">
        <v>1153</v>
      </c>
      <c r="E79" s="144" t="s">
        <v>1153</v>
      </c>
      <c r="F79" s="152" t="s">
        <v>1089</v>
      </c>
      <c r="G79" s="145" t="s">
        <v>1153</v>
      </c>
      <c r="H79" s="146" t="s">
        <v>81</v>
      </c>
      <c r="I79" s="147" t="s">
        <v>82</v>
      </c>
      <c r="J79" s="148" t="s">
        <v>81</v>
      </c>
      <c r="K79" s="149" t="s">
        <v>82</v>
      </c>
      <c r="L79" s="150"/>
      <c r="M79" s="150"/>
      <c r="N79" s="150"/>
      <c r="O79" s="150"/>
      <c r="P79" s="150"/>
      <c r="Q79" s="150"/>
      <c r="R79" s="150"/>
      <c r="S79" s="150"/>
      <c r="T79" s="150"/>
      <c r="U79" s="150"/>
      <c r="V79" s="150"/>
      <c r="W79" s="150"/>
      <c r="X79" s="150"/>
      <c r="Y79" s="150"/>
      <c r="Z79" s="150"/>
      <c r="AA79" s="150"/>
      <c r="AB79" s="150"/>
      <c r="AC79" s="150"/>
      <c r="AD79" s="150"/>
      <c r="AE79" s="150"/>
      <c r="AF79" s="150"/>
      <c r="AG79" s="150"/>
      <c r="AH79" s="150"/>
      <c r="AI79" s="150"/>
      <c r="AJ79" s="150"/>
      <c r="AK79" s="150"/>
      <c r="AL79" s="150"/>
      <c r="AM79" s="150"/>
      <c r="AN79" s="150"/>
      <c r="AO79" s="150"/>
      <c r="AP79" s="150"/>
      <c r="AQ79" s="150"/>
      <c r="AR79" s="150"/>
      <c r="AS79" s="150"/>
      <c r="AT79" s="150"/>
      <c r="AU79" s="150"/>
      <c r="AV79" s="150"/>
      <c r="AW79" s="150"/>
      <c r="AX79" s="150"/>
      <c r="AY79" s="151"/>
      <c r="AZ79" s="151"/>
      <c r="BA79" s="151"/>
      <c r="BB79" s="151"/>
      <c r="BC79" s="151"/>
      <c r="BD79" s="151"/>
      <c r="BE79" s="151"/>
      <c r="BF79" s="151"/>
      <c r="BG79" s="151"/>
      <c r="BH79" s="151"/>
      <c r="BI79" s="151"/>
      <c r="BJ79" s="151"/>
      <c r="BK79" s="151"/>
      <c r="BL79" s="151"/>
      <c r="BM79" s="151"/>
      <c r="BN79" s="151"/>
      <c r="BO79" s="151"/>
      <c r="BP79" s="151"/>
      <c r="BQ79" s="151"/>
      <c r="BR79" s="151"/>
    </row>
    <row r="80" s="75" customFormat="true" ht="15" hidden="false" customHeight="false" outlineLevel="0" collapsed="false">
      <c r="A80" s="141" t="s">
        <v>238</v>
      </c>
      <c r="B80" s="142" t="s">
        <v>1152</v>
      </c>
      <c r="C80" s="143" t="s">
        <v>1220</v>
      </c>
      <c r="D80" s="144" t="s">
        <v>1153</v>
      </c>
      <c r="E80" s="144" t="s">
        <v>1153</v>
      </c>
      <c r="F80" s="152" t="s">
        <v>1089</v>
      </c>
      <c r="G80" s="145" t="s">
        <v>1153</v>
      </c>
      <c r="H80" s="146" t="s">
        <v>81</v>
      </c>
      <c r="I80" s="147" t="s">
        <v>82</v>
      </c>
      <c r="J80" s="148" t="s">
        <v>81</v>
      </c>
      <c r="K80" s="149" t="s">
        <v>82</v>
      </c>
      <c r="L80" s="150"/>
      <c r="M80" s="150"/>
      <c r="N80" s="150"/>
      <c r="O80" s="150"/>
      <c r="P80" s="150"/>
      <c r="Q80" s="150"/>
      <c r="R80" s="150"/>
      <c r="S80" s="150"/>
      <c r="T80" s="150"/>
      <c r="U80" s="150"/>
      <c r="V80" s="150"/>
      <c r="W80" s="150"/>
      <c r="X80" s="150"/>
      <c r="Y80" s="150"/>
      <c r="Z80" s="150"/>
      <c r="AA80" s="150"/>
      <c r="AB80" s="150"/>
      <c r="AC80" s="150"/>
      <c r="AD80" s="150"/>
      <c r="AE80" s="150"/>
      <c r="AF80" s="150"/>
      <c r="AG80" s="150"/>
      <c r="AH80" s="150"/>
      <c r="AI80" s="150"/>
      <c r="AJ80" s="150"/>
      <c r="AK80" s="150"/>
      <c r="AL80" s="150"/>
      <c r="AM80" s="150"/>
      <c r="AN80" s="150"/>
      <c r="AO80" s="150"/>
      <c r="AP80" s="150"/>
      <c r="AQ80" s="150"/>
      <c r="AR80" s="150"/>
      <c r="AS80" s="150"/>
      <c r="AT80" s="150"/>
      <c r="AU80" s="150"/>
      <c r="AV80" s="150"/>
      <c r="AW80" s="150"/>
      <c r="AX80" s="150"/>
      <c r="AY80" s="151"/>
      <c r="AZ80" s="151"/>
      <c r="BA80" s="151"/>
      <c r="BB80" s="151"/>
      <c r="BC80" s="151"/>
      <c r="BD80" s="151"/>
      <c r="BE80" s="151"/>
      <c r="BF80" s="151"/>
      <c r="BG80" s="151"/>
      <c r="BH80" s="151"/>
      <c r="BI80" s="151"/>
      <c r="BJ80" s="151"/>
      <c r="BK80" s="151"/>
      <c r="BL80" s="151"/>
      <c r="BM80" s="151"/>
      <c r="BN80" s="151"/>
      <c r="BO80" s="151"/>
      <c r="BP80" s="151"/>
      <c r="BQ80" s="151"/>
      <c r="BR80" s="151"/>
    </row>
    <row r="81" s="75" customFormat="true" ht="15" hidden="false" customHeight="false" outlineLevel="0" collapsed="false">
      <c r="A81" s="141" t="s">
        <v>240</v>
      </c>
      <c r="B81" s="142" t="s">
        <v>1152</v>
      </c>
      <c r="C81" s="143" t="s">
        <v>1221</v>
      </c>
      <c r="D81" s="144" t="s">
        <v>1153</v>
      </c>
      <c r="E81" s="144" t="s">
        <v>1153</v>
      </c>
      <c r="F81" s="152" t="s">
        <v>1089</v>
      </c>
      <c r="G81" s="145" t="s">
        <v>1153</v>
      </c>
      <c r="H81" s="146" t="s">
        <v>81</v>
      </c>
      <c r="I81" s="147" t="s">
        <v>82</v>
      </c>
      <c r="J81" s="148" t="s">
        <v>81</v>
      </c>
      <c r="K81" s="149" t="s">
        <v>82</v>
      </c>
      <c r="L81" s="150"/>
      <c r="M81" s="150"/>
      <c r="N81" s="150"/>
      <c r="O81" s="150"/>
      <c r="P81" s="150"/>
      <c r="Q81" s="150"/>
      <c r="R81" s="150"/>
      <c r="S81" s="150"/>
      <c r="T81" s="150"/>
      <c r="U81" s="150"/>
      <c r="V81" s="150"/>
      <c r="W81" s="150"/>
      <c r="X81" s="150"/>
      <c r="Y81" s="150"/>
      <c r="Z81" s="150"/>
      <c r="AA81" s="150"/>
      <c r="AB81" s="150"/>
      <c r="AC81" s="150"/>
      <c r="AD81" s="150"/>
      <c r="AE81" s="150"/>
      <c r="AF81" s="150"/>
      <c r="AG81" s="150"/>
      <c r="AH81" s="150"/>
      <c r="AI81" s="150"/>
      <c r="AJ81" s="150"/>
      <c r="AK81" s="150"/>
      <c r="AL81" s="150"/>
      <c r="AM81" s="150"/>
      <c r="AN81" s="150"/>
      <c r="AO81" s="150"/>
      <c r="AP81" s="150"/>
      <c r="AQ81" s="150"/>
      <c r="AR81" s="150"/>
      <c r="AS81" s="150"/>
      <c r="AT81" s="150"/>
      <c r="AU81" s="150"/>
      <c r="AV81" s="150"/>
      <c r="AW81" s="150"/>
      <c r="AX81" s="150"/>
      <c r="AY81" s="151"/>
      <c r="AZ81" s="151"/>
      <c r="BA81" s="151"/>
      <c r="BB81" s="151"/>
      <c r="BC81" s="151"/>
      <c r="BD81" s="151"/>
      <c r="BE81" s="151"/>
      <c r="BF81" s="151"/>
      <c r="BG81" s="151"/>
      <c r="BH81" s="151"/>
      <c r="BI81" s="151"/>
      <c r="BJ81" s="151"/>
      <c r="BK81" s="151"/>
      <c r="BL81" s="151"/>
      <c r="BM81" s="151"/>
      <c r="BN81" s="151"/>
      <c r="BO81" s="151"/>
      <c r="BP81" s="151"/>
      <c r="BQ81" s="151"/>
      <c r="BR81" s="151"/>
    </row>
    <row r="82" s="75" customFormat="true" ht="15" hidden="false" customHeight="false" outlineLevel="0" collapsed="false">
      <c r="A82" s="141"/>
      <c r="B82" s="142"/>
      <c r="C82" s="143"/>
      <c r="D82" s="144"/>
      <c r="E82" s="144"/>
      <c r="F82" s="152"/>
      <c r="G82" s="145"/>
      <c r="H82" s="146"/>
      <c r="I82" s="147"/>
      <c r="J82" s="148"/>
      <c r="K82" s="149"/>
      <c r="L82" s="150"/>
      <c r="M82" s="150"/>
      <c r="N82" s="150"/>
      <c r="O82" s="150"/>
      <c r="P82" s="150"/>
      <c r="Q82" s="150"/>
      <c r="R82" s="150"/>
      <c r="S82" s="150"/>
      <c r="T82" s="150"/>
      <c r="U82" s="150"/>
      <c r="V82" s="150"/>
      <c r="W82" s="150"/>
      <c r="X82" s="150"/>
      <c r="Y82" s="150"/>
      <c r="Z82" s="150"/>
      <c r="AA82" s="150"/>
      <c r="AB82" s="150"/>
      <c r="AC82" s="150"/>
      <c r="AD82" s="150"/>
      <c r="AE82" s="150"/>
      <c r="AF82" s="150"/>
      <c r="AG82" s="150"/>
      <c r="AH82" s="150"/>
      <c r="AI82" s="150"/>
      <c r="AJ82" s="150"/>
      <c r="AK82" s="150"/>
      <c r="AL82" s="150"/>
      <c r="AM82" s="150"/>
      <c r="AN82" s="150"/>
      <c r="AO82" s="150"/>
      <c r="AP82" s="150"/>
      <c r="AQ82" s="150"/>
      <c r="AR82" s="150"/>
      <c r="AS82" s="150"/>
      <c r="AT82" s="150"/>
      <c r="AU82" s="150"/>
      <c r="AV82" s="150"/>
      <c r="AW82" s="150"/>
      <c r="AX82" s="150"/>
      <c r="AY82" s="151"/>
      <c r="AZ82" s="151"/>
      <c r="BA82" s="151"/>
      <c r="BB82" s="151"/>
      <c r="BC82" s="151"/>
      <c r="BD82" s="151"/>
      <c r="BE82" s="151"/>
      <c r="BF82" s="151"/>
      <c r="BG82" s="151"/>
      <c r="BH82" s="151"/>
      <c r="BI82" s="151"/>
      <c r="BJ82" s="151"/>
      <c r="BK82" s="151"/>
      <c r="BL82" s="151"/>
      <c r="BM82" s="151"/>
      <c r="BN82" s="151"/>
      <c r="BO82" s="151"/>
      <c r="BP82" s="151"/>
      <c r="BQ82" s="151"/>
      <c r="BR82" s="151"/>
    </row>
    <row r="83" s="75" customFormat="true" ht="15" hidden="false" customHeight="false" outlineLevel="0" collapsed="false">
      <c r="A83" s="141" t="s">
        <v>242</v>
      </c>
      <c r="B83" s="142" t="s">
        <v>1152</v>
      </c>
      <c r="C83" s="143" t="s">
        <v>1222</v>
      </c>
      <c r="D83" s="144" t="s">
        <v>1153</v>
      </c>
      <c r="E83" s="144" t="s">
        <v>1153</v>
      </c>
      <c r="F83" s="152" t="s">
        <v>1089</v>
      </c>
      <c r="G83" s="145" t="s">
        <v>1153</v>
      </c>
      <c r="H83" s="146" t="s">
        <v>81</v>
      </c>
      <c r="I83" s="147" t="s">
        <v>82</v>
      </c>
      <c r="J83" s="148" t="s">
        <v>81</v>
      </c>
      <c r="K83" s="149" t="s">
        <v>82</v>
      </c>
      <c r="L83" s="150"/>
      <c r="M83" s="150"/>
      <c r="N83" s="150"/>
      <c r="O83" s="150"/>
      <c r="P83" s="150"/>
      <c r="Q83" s="150"/>
      <c r="R83" s="150"/>
      <c r="S83" s="150"/>
      <c r="T83" s="150"/>
      <c r="U83" s="150"/>
      <c r="V83" s="150"/>
      <c r="W83" s="150"/>
      <c r="X83" s="150"/>
      <c r="Y83" s="150"/>
      <c r="Z83" s="150"/>
      <c r="AA83" s="150"/>
      <c r="AB83" s="150"/>
      <c r="AC83" s="150"/>
      <c r="AD83" s="150"/>
      <c r="AE83" s="150"/>
      <c r="AF83" s="150"/>
      <c r="AG83" s="150"/>
      <c r="AH83" s="150"/>
      <c r="AI83" s="150"/>
      <c r="AJ83" s="150"/>
      <c r="AK83" s="150"/>
      <c r="AL83" s="150"/>
      <c r="AM83" s="150"/>
      <c r="AN83" s="150"/>
      <c r="AO83" s="150"/>
      <c r="AP83" s="150"/>
      <c r="AQ83" s="150"/>
      <c r="AR83" s="150"/>
      <c r="AS83" s="150"/>
      <c r="AT83" s="150"/>
      <c r="AU83" s="150"/>
      <c r="AV83" s="150"/>
      <c r="AW83" s="150"/>
      <c r="AX83" s="150"/>
      <c r="AY83" s="151"/>
      <c r="AZ83" s="151"/>
      <c r="BA83" s="151"/>
      <c r="BB83" s="151"/>
      <c r="BC83" s="151"/>
      <c r="BD83" s="151"/>
      <c r="BE83" s="151"/>
      <c r="BF83" s="151"/>
      <c r="BG83" s="151"/>
      <c r="BH83" s="151"/>
      <c r="BI83" s="151"/>
      <c r="BJ83" s="151"/>
      <c r="BK83" s="151"/>
      <c r="BL83" s="151"/>
      <c r="BM83" s="151"/>
      <c r="BN83" s="151"/>
      <c r="BO83" s="151"/>
      <c r="BP83" s="151"/>
      <c r="BQ83" s="151"/>
      <c r="BR83" s="151"/>
    </row>
    <row r="84" s="75" customFormat="true" ht="15" hidden="false" customHeight="false" outlineLevel="0" collapsed="false">
      <c r="A84" s="141"/>
      <c r="B84" s="142"/>
      <c r="C84" s="143"/>
      <c r="D84" s="144"/>
      <c r="E84" s="144"/>
      <c r="F84" s="144"/>
      <c r="G84" s="145"/>
      <c r="H84" s="146"/>
      <c r="I84" s="147"/>
      <c r="J84" s="148"/>
      <c r="K84" s="149"/>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0"/>
      <c r="AM84" s="150"/>
      <c r="AN84" s="150"/>
      <c r="AO84" s="150"/>
      <c r="AP84" s="150"/>
      <c r="AQ84" s="150"/>
      <c r="AR84" s="150"/>
      <c r="AS84" s="150"/>
      <c r="AT84" s="150"/>
      <c r="AU84" s="150"/>
      <c r="AV84" s="150"/>
      <c r="AW84" s="150"/>
      <c r="AX84" s="150"/>
      <c r="AY84" s="151"/>
      <c r="AZ84" s="151"/>
      <c r="BA84" s="151"/>
      <c r="BB84" s="151"/>
      <c r="BC84" s="151"/>
      <c r="BD84" s="151"/>
      <c r="BE84" s="151"/>
      <c r="BF84" s="151"/>
      <c r="BG84" s="151"/>
      <c r="BH84" s="151"/>
      <c r="BI84" s="151"/>
      <c r="BJ84" s="151"/>
      <c r="BK84" s="151"/>
      <c r="BL84" s="151"/>
      <c r="BM84" s="151"/>
      <c r="BN84" s="151"/>
      <c r="BO84" s="151"/>
      <c r="BP84" s="151"/>
      <c r="BQ84" s="151"/>
      <c r="BR84" s="151"/>
    </row>
    <row r="85" s="75" customFormat="true" ht="30" hidden="false" customHeight="false" outlineLevel="0" collapsed="false">
      <c r="A85" s="141" t="s">
        <v>244</v>
      </c>
      <c r="B85" s="142" t="s">
        <v>1152</v>
      </c>
      <c r="C85" s="143" t="s">
        <v>1223</v>
      </c>
      <c r="D85" s="144" t="s">
        <v>1153</v>
      </c>
      <c r="E85" s="144" t="s">
        <v>1153</v>
      </c>
      <c r="F85" s="152" t="s">
        <v>1089</v>
      </c>
      <c r="G85" s="145" t="s">
        <v>1153</v>
      </c>
      <c r="H85" s="146" t="s">
        <v>81</v>
      </c>
      <c r="I85" s="147" t="s">
        <v>82</v>
      </c>
      <c r="J85" s="148" t="s">
        <v>81</v>
      </c>
      <c r="K85" s="149" t="s">
        <v>82</v>
      </c>
      <c r="L85" s="150"/>
      <c r="M85" s="150"/>
      <c r="N85" s="150"/>
      <c r="O85" s="150"/>
      <c r="P85" s="150"/>
      <c r="Q85" s="150"/>
      <c r="R85" s="150"/>
      <c r="S85" s="150"/>
      <c r="T85" s="150"/>
      <c r="U85" s="150"/>
      <c r="V85" s="150"/>
      <c r="W85" s="150"/>
      <c r="X85" s="150"/>
      <c r="Y85" s="150"/>
      <c r="Z85" s="150"/>
      <c r="AA85" s="150"/>
      <c r="AB85" s="150"/>
      <c r="AC85" s="150"/>
      <c r="AD85" s="150"/>
      <c r="AE85" s="150"/>
      <c r="AF85" s="150"/>
      <c r="AG85" s="150"/>
      <c r="AH85" s="150"/>
      <c r="AI85" s="150"/>
      <c r="AJ85" s="150"/>
      <c r="AK85" s="150"/>
      <c r="AL85" s="150"/>
      <c r="AM85" s="150"/>
      <c r="AN85" s="150"/>
      <c r="AO85" s="150"/>
      <c r="AP85" s="150"/>
      <c r="AQ85" s="150"/>
      <c r="AR85" s="150"/>
      <c r="AS85" s="150"/>
      <c r="AT85" s="150"/>
      <c r="AU85" s="150"/>
      <c r="AV85" s="150"/>
      <c r="AW85" s="150"/>
      <c r="AX85" s="150"/>
      <c r="AY85" s="151"/>
      <c r="AZ85" s="151"/>
      <c r="BA85" s="151"/>
      <c r="BB85" s="151"/>
      <c r="BC85" s="151"/>
      <c r="BD85" s="151"/>
      <c r="BE85" s="151"/>
      <c r="BF85" s="151"/>
      <c r="BG85" s="151"/>
      <c r="BH85" s="151"/>
      <c r="BI85" s="151"/>
      <c r="BJ85" s="151"/>
      <c r="BK85" s="151"/>
      <c r="BL85" s="151"/>
      <c r="BM85" s="151"/>
      <c r="BN85" s="151"/>
      <c r="BO85" s="151"/>
      <c r="BP85" s="151"/>
      <c r="BQ85" s="151"/>
      <c r="BR85" s="151"/>
    </row>
    <row r="86" s="75" customFormat="true" ht="30" hidden="false" customHeight="false" outlineLevel="0" collapsed="false">
      <c r="A86" s="141" t="s">
        <v>246</v>
      </c>
      <c r="B86" s="142" t="s">
        <v>1152</v>
      </c>
      <c r="C86" s="143" t="s">
        <v>1224</v>
      </c>
      <c r="D86" s="144" t="s">
        <v>1153</v>
      </c>
      <c r="E86" s="144" t="s">
        <v>1153</v>
      </c>
      <c r="F86" s="152" t="s">
        <v>1089</v>
      </c>
      <c r="G86" s="145" t="s">
        <v>1153</v>
      </c>
      <c r="H86" s="146" t="s">
        <v>81</v>
      </c>
      <c r="I86" s="147" t="s">
        <v>82</v>
      </c>
      <c r="J86" s="148" t="s">
        <v>81</v>
      </c>
      <c r="K86" s="149" t="s">
        <v>82</v>
      </c>
      <c r="L86" s="150"/>
      <c r="M86" s="150"/>
      <c r="N86" s="150"/>
      <c r="O86" s="150"/>
      <c r="P86" s="150"/>
      <c r="Q86" s="150"/>
      <c r="R86" s="150"/>
      <c r="S86" s="150"/>
      <c r="T86" s="150"/>
      <c r="U86" s="150"/>
      <c r="V86" s="150"/>
      <c r="W86" s="150"/>
      <c r="X86" s="150"/>
      <c r="Y86" s="150"/>
      <c r="Z86" s="150"/>
      <c r="AA86" s="150"/>
      <c r="AB86" s="150"/>
      <c r="AC86" s="150"/>
      <c r="AD86" s="150"/>
      <c r="AE86" s="150"/>
      <c r="AF86" s="150"/>
      <c r="AG86" s="150"/>
      <c r="AH86" s="150"/>
      <c r="AI86" s="150"/>
      <c r="AJ86" s="150"/>
      <c r="AK86" s="150"/>
      <c r="AL86" s="150"/>
      <c r="AM86" s="150"/>
      <c r="AN86" s="150"/>
      <c r="AO86" s="150"/>
      <c r="AP86" s="150"/>
      <c r="AQ86" s="150"/>
      <c r="AR86" s="150"/>
      <c r="AS86" s="150"/>
      <c r="AT86" s="150"/>
      <c r="AU86" s="150"/>
      <c r="AV86" s="150"/>
      <c r="AW86" s="150"/>
      <c r="AX86" s="150"/>
      <c r="AY86" s="151"/>
      <c r="AZ86" s="151"/>
      <c r="BA86" s="151"/>
      <c r="BB86" s="151"/>
      <c r="BC86" s="151"/>
      <c r="BD86" s="151"/>
      <c r="BE86" s="151"/>
      <c r="BF86" s="151"/>
      <c r="BG86" s="151"/>
      <c r="BH86" s="151"/>
      <c r="BI86" s="151"/>
      <c r="BJ86" s="151"/>
      <c r="BK86" s="151"/>
      <c r="BL86" s="151"/>
      <c r="BM86" s="151"/>
      <c r="BN86" s="151"/>
      <c r="BO86" s="151"/>
      <c r="BP86" s="151"/>
      <c r="BQ86" s="151"/>
      <c r="BR86" s="151"/>
    </row>
    <row r="87" s="75" customFormat="true" ht="15" hidden="false" customHeight="false" outlineLevel="0" collapsed="false">
      <c r="A87" s="141" t="s">
        <v>248</v>
      </c>
      <c r="B87" s="142" t="s">
        <v>1152</v>
      </c>
      <c r="C87" s="143" t="s">
        <v>1225</v>
      </c>
      <c r="D87" s="144" t="s">
        <v>1153</v>
      </c>
      <c r="E87" s="144" t="s">
        <v>1153</v>
      </c>
      <c r="F87" s="152" t="s">
        <v>1089</v>
      </c>
      <c r="G87" s="145" t="s">
        <v>1153</v>
      </c>
      <c r="H87" s="146" t="s">
        <v>81</v>
      </c>
      <c r="I87" s="147" t="s">
        <v>82</v>
      </c>
      <c r="J87" s="148" t="s">
        <v>81</v>
      </c>
      <c r="K87" s="149" t="s">
        <v>82</v>
      </c>
      <c r="L87" s="150"/>
      <c r="M87" s="150"/>
      <c r="N87" s="150"/>
      <c r="O87" s="150"/>
      <c r="P87" s="150"/>
      <c r="Q87" s="150"/>
      <c r="R87" s="150"/>
      <c r="S87" s="150"/>
      <c r="T87" s="150"/>
      <c r="U87" s="150"/>
      <c r="V87" s="150"/>
      <c r="W87" s="150"/>
      <c r="X87" s="150"/>
      <c r="Y87" s="150"/>
      <c r="Z87" s="150"/>
      <c r="AA87" s="150"/>
      <c r="AB87" s="150"/>
      <c r="AC87" s="150"/>
      <c r="AD87" s="150"/>
      <c r="AE87" s="150"/>
      <c r="AF87" s="150"/>
      <c r="AG87" s="150"/>
      <c r="AH87" s="150"/>
      <c r="AI87" s="150"/>
      <c r="AJ87" s="150"/>
      <c r="AK87" s="150"/>
      <c r="AL87" s="150"/>
      <c r="AM87" s="150"/>
      <c r="AN87" s="150"/>
      <c r="AO87" s="150"/>
      <c r="AP87" s="150"/>
      <c r="AQ87" s="150"/>
      <c r="AR87" s="150"/>
      <c r="AS87" s="150"/>
      <c r="AT87" s="150"/>
      <c r="AU87" s="150"/>
      <c r="AV87" s="150"/>
      <c r="AW87" s="150"/>
      <c r="AX87" s="150"/>
      <c r="AY87" s="151"/>
      <c r="AZ87" s="151"/>
      <c r="BA87" s="151"/>
      <c r="BB87" s="151"/>
      <c r="BC87" s="151"/>
      <c r="BD87" s="151"/>
      <c r="BE87" s="151"/>
      <c r="BF87" s="151"/>
      <c r="BG87" s="151"/>
      <c r="BH87" s="151"/>
      <c r="BI87" s="151"/>
      <c r="BJ87" s="151"/>
      <c r="BK87" s="151"/>
      <c r="BL87" s="151"/>
      <c r="BM87" s="151"/>
      <c r="BN87" s="151"/>
      <c r="BO87" s="151"/>
      <c r="BP87" s="151"/>
      <c r="BQ87" s="151"/>
      <c r="BR87" s="151"/>
    </row>
    <row r="88" s="75" customFormat="true" ht="15" hidden="false" customHeight="false" outlineLevel="0" collapsed="false">
      <c r="A88" s="141" t="s">
        <v>250</v>
      </c>
      <c r="B88" s="142" t="s">
        <v>1152</v>
      </c>
      <c r="C88" s="143" t="s">
        <v>1226</v>
      </c>
      <c r="D88" s="144" t="s">
        <v>1153</v>
      </c>
      <c r="E88" s="144" t="s">
        <v>1153</v>
      </c>
      <c r="F88" s="152" t="s">
        <v>1089</v>
      </c>
      <c r="G88" s="145" t="s">
        <v>1153</v>
      </c>
      <c r="H88" s="146" t="s">
        <v>81</v>
      </c>
      <c r="I88" s="147" t="s">
        <v>82</v>
      </c>
      <c r="J88" s="148" t="s">
        <v>81</v>
      </c>
      <c r="K88" s="149" t="s">
        <v>82</v>
      </c>
      <c r="L88" s="150"/>
      <c r="M88" s="150"/>
      <c r="N88" s="150"/>
      <c r="O88" s="150"/>
      <c r="P88" s="150"/>
      <c r="Q88" s="150"/>
      <c r="R88" s="150"/>
      <c r="S88" s="150"/>
      <c r="T88" s="150"/>
      <c r="U88" s="150"/>
      <c r="V88" s="150"/>
      <c r="W88" s="150"/>
      <c r="X88" s="150"/>
      <c r="Y88" s="150"/>
      <c r="Z88" s="150"/>
      <c r="AA88" s="150"/>
      <c r="AB88" s="150"/>
      <c r="AC88" s="150"/>
      <c r="AD88" s="150"/>
      <c r="AE88" s="150"/>
      <c r="AF88" s="150"/>
      <c r="AG88" s="150"/>
      <c r="AH88" s="150"/>
      <c r="AI88" s="150"/>
      <c r="AJ88" s="150"/>
      <c r="AK88" s="150"/>
      <c r="AL88" s="150"/>
      <c r="AM88" s="150"/>
      <c r="AN88" s="150"/>
      <c r="AO88" s="150"/>
      <c r="AP88" s="150"/>
      <c r="AQ88" s="150"/>
      <c r="AR88" s="150"/>
      <c r="AS88" s="150"/>
      <c r="AT88" s="150"/>
      <c r="AU88" s="150"/>
      <c r="AV88" s="150"/>
      <c r="AW88" s="150"/>
      <c r="AX88" s="150"/>
      <c r="AY88" s="151"/>
      <c r="AZ88" s="151"/>
      <c r="BA88" s="151"/>
      <c r="BB88" s="151"/>
      <c r="BC88" s="151"/>
      <c r="BD88" s="151"/>
      <c r="BE88" s="151"/>
      <c r="BF88" s="151"/>
      <c r="BG88" s="151"/>
      <c r="BH88" s="151"/>
      <c r="BI88" s="151"/>
      <c r="BJ88" s="151"/>
      <c r="BK88" s="151"/>
      <c r="BL88" s="151"/>
      <c r="BM88" s="151"/>
      <c r="BN88" s="151"/>
      <c r="BO88" s="151"/>
      <c r="BP88" s="151"/>
      <c r="BQ88" s="151"/>
      <c r="BR88" s="151"/>
    </row>
    <row r="89" s="75" customFormat="true" ht="15" hidden="false" customHeight="false" outlineLevel="0" collapsed="false">
      <c r="A89" s="141" t="s">
        <v>258</v>
      </c>
      <c r="B89" s="142" t="s">
        <v>1152</v>
      </c>
      <c r="C89" s="143" t="s">
        <v>1227</v>
      </c>
      <c r="D89" s="144" t="s">
        <v>1153</v>
      </c>
      <c r="E89" s="144" t="s">
        <v>1153</v>
      </c>
      <c r="F89" s="152" t="s">
        <v>1089</v>
      </c>
      <c r="G89" s="145" t="s">
        <v>1153</v>
      </c>
      <c r="H89" s="146" t="s">
        <v>81</v>
      </c>
      <c r="I89" s="147" t="s">
        <v>82</v>
      </c>
      <c r="J89" s="148" t="s">
        <v>81</v>
      </c>
      <c r="K89" s="149" t="s">
        <v>82</v>
      </c>
      <c r="L89" s="150"/>
      <c r="M89" s="150"/>
      <c r="N89" s="150"/>
      <c r="O89" s="150"/>
      <c r="P89" s="150"/>
      <c r="Q89" s="150"/>
      <c r="R89" s="150"/>
      <c r="S89" s="150"/>
      <c r="T89" s="150"/>
      <c r="U89" s="150"/>
      <c r="V89" s="150"/>
      <c r="W89" s="150"/>
      <c r="X89" s="150"/>
      <c r="Y89" s="150"/>
      <c r="Z89" s="150"/>
      <c r="AA89" s="150"/>
      <c r="AB89" s="150"/>
      <c r="AC89" s="150"/>
      <c r="AD89" s="150"/>
      <c r="AE89" s="150"/>
      <c r="AF89" s="150"/>
      <c r="AG89" s="150"/>
      <c r="AH89" s="150"/>
      <c r="AI89" s="150"/>
      <c r="AJ89" s="150"/>
      <c r="AK89" s="150"/>
      <c r="AL89" s="150"/>
      <c r="AM89" s="150"/>
      <c r="AN89" s="150"/>
      <c r="AO89" s="150"/>
      <c r="AP89" s="150"/>
      <c r="AQ89" s="150"/>
      <c r="AR89" s="150"/>
      <c r="AS89" s="150"/>
      <c r="AT89" s="150"/>
      <c r="AU89" s="150"/>
      <c r="AV89" s="150"/>
      <c r="AW89" s="150"/>
      <c r="AX89" s="150"/>
      <c r="AY89" s="151"/>
      <c r="AZ89" s="151"/>
      <c r="BA89" s="151"/>
      <c r="BB89" s="151"/>
      <c r="BC89" s="151"/>
      <c r="BD89" s="151"/>
      <c r="BE89" s="151"/>
      <c r="BF89" s="151"/>
      <c r="BG89" s="151"/>
      <c r="BH89" s="151"/>
      <c r="BI89" s="151"/>
      <c r="BJ89" s="151"/>
      <c r="BK89" s="151"/>
      <c r="BL89" s="151"/>
      <c r="BM89" s="151"/>
      <c r="BN89" s="151"/>
      <c r="BO89" s="151"/>
      <c r="BP89" s="151"/>
      <c r="BQ89" s="151"/>
      <c r="BR89" s="151"/>
    </row>
    <row r="90" s="75" customFormat="true" ht="15" hidden="false" customHeight="false" outlineLevel="0" collapsed="false">
      <c r="A90" s="141" t="s">
        <v>263</v>
      </c>
      <c r="B90" s="142" t="s">
        <v>1152</v>
      </c>
      <c r="C90" s="143" t="s">
        <v>1228</v>
      </c>
      <c r="D90" s="144" t="s">
        <v>1153</v>
      </c>
      <c r="E90" s="144" t="s">
        <v>1153</v>
      </c>
      <c r="F90" s="152" t="s">
        <v>1089</v>
      </c>
      <c r="G90" s="145" t="s">
        <v>1153</v>
      </c>
      <c r="H90" s="146" t="s">
        <v>81</v>
      </c>
      <c r="I90" s="147" t="s">
        <v>82</v>
      </c>
      <c r="J90" s="148" t="s">
        <v>81</v>
      </c>
      <c r="K90" s="149" t="s">
        <v>82</v>
      </c>
      <c r="L90" s="150"/>
      <c r="M90" s="150"/>
      <c r="N90" s="150"/>
      <c r="O90" s="150"/>
      <c r="P90" s="150"/>
      <c r="Q90" s="150"/>
      <c r="R90" s="150"/>
      <c r="S90" s="150"/>
      <c r="T90" s="150"/>
      <c r="U90" s="150"/>
      <c r="V90" s="150"/>
      <c r="W90" s="150"/>
      <c r="X90" s="150"/>
      <c r="Y90" s="150"/>
      <c r="Z90" s="150"/>
      <c r="AA90" s="150"/>
      <c r="AB90" s="150"/>
      <c r="AC90" s="150"/>
      <c r="AD90" s="150"/>
      <c r="AE90" s="150"/>
      <c r="AF90" s="150"/>
      <c r="AG90" s="150"/>
      <c r="AH90" s="150"/>
      <c r="AI90" s="150"/>
      <c r="AJ90" s="150"/>
      <c r="AK90" s="150"/>
      <c r="AL90" s="150"/>
      <c r="AM90" s="150"/>
      <c r="AN90" s="150"/>
      <c r="AO90" s="150"/>
      <c r="AP90" s="150"/>
      <c r="AQ90" s="150"/>
      <c r="AR90" s="150"/>
      <c r="AS90" s="150"/>
      <c r="AT90" s="150"/>
      <c r="AU90" s="150"/>
      <c r="AV90" s="150"/>
      <c r="AW90" s="150"/>
      <c r="AX90" s="150"/>
      <c r="AY90" s="151"/>
      <c r="AZ90" s="151"/>
      <c r="BA90" s="151"/>
      <c r="BB90" s="151"/>
      <c r="BC90" s="151"/>
      <c r="BD90" s="151"/>
      <c r="BE90" s="151"/>
      <c r="BF90" s="151"/>
      <c r="BG90" s="151"/>
      <c r="BH90" s="151"/>
      <c r="BI90" s="151"/>
      <c r="BJ90" s="151"/>
      <c r="BK90" s="151"/>
      <c r="BL90" s="151"/>
      <c r="BM90" s="151"/>
      <c r="BN90" s="151"/>
      <c r="BO90" s="151"/>
      <c r="BP90" s="151"/>
      <c r="BQ90" s="151"/>
      <c r="BR90" s="151"/>
    </row>
    <row r="91" s="75" customFormat="true" ht="30" hidden="false" customHeight="false" outlineLevel="0" collapsed="false">
      <c r="A91" s="141" t="s">
        <v>277</v>
      </c>
      <c r="B91" s="142" t="s">
        <v>1152</v>
      </c>
      <c r="C91" s="143" t="s">
        <v>1229</v>
      </c>
      <c r="D91" s="144" t="s">
        <v>1153</v>
      </c>
      <c r="E91" s="144" t="s">
        <v>1153</v>
      </c>
      <c r="F91" s="152" t="s">
        <v>1089</v>
      </c>
      <c r="G91" s="145" t="s">
        <v>1153</v>
      </c>
      <c r="H91" s="146" t="s">
        <v>81</v>
      </c>
      <c r="I91" s="147" t="s">
        <v>82</v>
      </c>
      <c r="J91" s="148" t="s">
        <v>81</v>
      </c>
      <c r="K91" s="149" t="s">
        <v>82</v>
      </c>
      <c r="L91" s="150"/>
      <c r="M91" s="150"/>
      <c r="N91" s="150"/>
      <c r="O91" s="150"/>
      <c r="P91" s="150"/>
      <c r="Q91" s="150"/>
      <c r="R91" s="150"/>
      <c r="S91" s="150"/>
      <c r="T91" s="150"/>
      <c r="U91" s="150"/>
      <c r="V91" s="150"/>
      <c r="W91" s="150"/>
      <c r="X91" s="150"/>
      <c r="Y91" s="150"/>
      <c r="Z91" s="150"/>
      <c r="AA91" s="150"/>
      <c r="AB91" s="150"/>
      <c r="AC91" s="150"/>
      <c r="AD91" s="150"/>
      <c r="AE91" s="150"/>
      <c r="AF91" s="150"/>
      <c r="AG91" s="150"/>
      <c r="AH91" s="150"/>
      <c r="AI91" s="150"/>
      <c r="AJ91" s="150"/>
      <c r="AK91" s="150"/>
      <c r="AL91" s="150"/>
      <c r="AM91" s="150"/>
      <c r="AN91" s="150"/>
      <c r="AO91" s="150"/>
      <c r="AP91" s="150"/>
      <c r="AQ91" s="150"/>
      <c r="AR91" s="150"/>
      <c r="AS91" s="150"/>
      <c r="AT91" s="150"/>
      <c r="AU91" s="150"/>
      <c r="AV91" s="150"/>
      <c r="AW91" s="150"/>
      <c r="AX91" s="150"/>
      <c r="AY91" s="151"/>
      <c r="AZ91" s="151"/>
      <c r="BA91" s="151"/>
      <c r="BB91" s="151"/>
      <c r="BC91" s="151"/>
      <c r="BD91" s="151"/>
      <c r="BE91" s="151"/>
      <c r="BF91" s="151"/>
      <c r="BG91" s="151"/>
      <c r="BH91" s="151"/>
      <c r="BI91" s="151"/>
      <c r="BJ91" s="151"/>
      <c r="BK91" s="151"/>
      <c r="BL91" s="151"/>
      <c r="BM91" s="151"/>
      <c r="BN91" s="151"/>
      <c r="BO91" s="151"/>
      <c r="BP91" s="151"/>
      <c r="BQ91" s="151"/>
      <c r="BR91" s="151"/>
    </row>
    <row r="92" s="75" customFormat="true" ht="15" hidden="false" customHeight="false" outlineLevel="0" collapsed="false">
      <c r="A92" s="141" t="s">
        <v>282</v>
      </c>
      <c r="B92" s="142" t="s">
        <v>1152</v>
      </c>
      <c r="C92" s="143" t="s">
        <v>1230</v>
      </c>
      <c r="D92" s="144" t="s">
        <v>1153</v>
      </c>
      <c r="E92" s="144" t="s">
        <v>1153</v>
      </c>
      <c r="F92" s="152" t="s">
        <v>1089</v>
      </c>
      <c r="G92" s="145" t="s">
        <v>1153</v>
      </c>
      <c r="H92" s="146" t="s">
        <v>81</v>
      </c>
      <c r="I92" s="147" t="s">
        <v>82</v>
      </c>
      <c r="J92" s="148" t="s">
        <v>81</v>
      </c>
      <c r="K92" s="149" t="s">
        <v>82</v>
      </c>
      <c r="L92" s="150"/>
      <c r="M92" s="150"/>
      <c r="N92" s="150"/>
      <c r="O92" s="150"/>
      <c r="P92" s="150"/>
      <c r="Q92" s="150"/>
      <c r="R92" s="150"/>
      <c r="S92" s="150"/>
      <c r="T92" s="150"/>
      <c r="U92" s="150"/>
      <c r="V92" s="150"/>
      <c r="W92" s="150"/>
      <c r="X92" s="150"/>
      <c r="Y92" s="150"/>
      <c r="Z92" s="150"/>
      <c r="AA92" s="150"/>
      <c r="AB92" s="150"/>
      <c r="AC92" s="150"/>
      <c r="AD92" s="150"/>
      <c r="AE92" s="150"/>
      <c r="AF92" s="150"/>
      <c r="AG92" s="150"/>
      <c r="AH92" s="150"/>
      <c r="AI92" s="150"/>
      <c r="AJ92" s="150"/>
      <c r="AK92" s="150"/>
      <c r="AL92" s="150"/>
      <c r="AM92" s="150"/>
      <c r="AN92" s="150"/>
      <c r="AO92" s="150"/>
      <c r="AP92" s="150"/>
      <c r="AQ92" s="150"/>
      <c r="AR92" s="150"/>
      <c r="AS92" s="150"/>
      <c r="AT92" s="150"/>
      <c r="AU92" s="150"/>
      <c r="AV92" s="150"/>
      <c r="AW92" s="150"/>
      <c r="AX92" s="150"/>
      <c r="AY92" s="151"/>
      <c r="AZ92" s="151"/>
      <c r="BA92" s="151"/>
      <c r="BB92" s="151"/>
      <c r="BC92" s="151"/>
      <c r="BD92" s="151"/>
      <c r="BE92" s="151"/>
      <c r="BF92" s="151"/>
      <c r="BG92" s="151"/>
      <c r="BH92" s="151"/>
      <c r="BI92" s="151"/>
      <c r="BJ92" s="151"/>
      <c r="BK92" s="151"/>
      <c r="BL92" s="151"/>
      <c r="BM92" s="151"/>
      <c r="BN92" s="151"/>
      <c r="BO92" s="151"/>
      <c r="BP92" s="151"/>
      <c r="BQ92" s="151"/>
      <c r="BR92" s="151"/>
    </row>
    <row r="93" s="75" customFormat="true" ht="30" hidden="false" customHeight="false" outlineLevel="0" collapsed="false">
      <c r="A93" s="141" t="s">
        <v>284</v>
      </c>
      <c r="B93" s="142" t="s">
        <v>1152</v>
      </c>
      <c r="C93" s="143" t="s">
        <v>1231</v>
      </c>
      <c r="D93" s="144" t="s">
        <v>1153</v>
      </c>
      <c r="E93" s="144" t="s">
        <v>1153</v>
      </c>
      <c r="F93" s="152" t="s">
        <v>1089</v>
      </c>
      <c r="G93" s="145" t="s">
        <v>1153</v>
      </c>
      <c r="H93" s="146" t="s">
        <v>81</v>
      </c>
      <c r="I93" s="147" t="s">
        <v>82</v>
      </c>
      <c r="J93" s="148" t="s">
        <v>81</v>
      </c>
      <c r="K93" s="149" t="s">
        <v>82</v>
      </c>
      <c r="L93" s="150"/>
      <c r="M93" s="150"/>
      <c r="N93" s="150"/>
      <c r="O93" s="150"/>
      <c r="P93" s="150"/>
      <c r="Q93" s="150"/>
      <c r="R93" s="150"/>
      <c r="S93" s="150"/>
      <c r="T93" s="150"/>
      <c r="U93" s="150"/>
      <c r="V93" s="150"/>
      <c r="W93" s="150"/>
      <c r="X93" s="150"/>
      <c r="Y93" s="150"/>
      <c r="Z93" s="150"/>
      <c r="AA93" s="150"/>
      <c r="AB93" s="150"/>
      <c r="AC93" s="150"/>
      <c r="AD93" s="150"/>
      <c r="AE93" s="150"/>
      <c r="AF93" s="150"/>
      <c r="AG93" s="150"/>
      <c r="AH93" s="150"/>
      <c r="AI93" s="150"/>
      <c r="AJ93" s="150"/>
      <c r="AK93" s="150"/>
      <c r="AL93" s="150"/>
      <c r="AM93" s="150"/>
      <c r="AN93" s="150"/>
      <c r="AO93" s="150"/>
      <c r="AP93" s="150"/>
      <c r="AQ93" s="150"/>
      <c r="AR93" s="150"/>
      <c r="AS93" s="150"/>
      <c r="AT93" s="150"/>
      <c r="AU93" s="150"/>
      <c r="AV93" s="150"/>
      <c r="AW93" s="150"/>
      <c r="AX93" s="150"/>
      <c r="AY93" s="151"/>
      <c r="AZ93" s="151"/>
      <c r="BA93" s="151"/>
      <c r="BB93" s="151"/>
      <c r="BC93" s="151"/>
      <c r="BD93" s="151"/>
      <c r="BE93" s="151"/>
      <c r="BF93" s="151"/>
      <c r="BG93" s="151"/>
      <c r="BH93" s="151"/>
      <c r="BI93" s="151"/>
      <c r="BJ93" s="151"/>
      <c r="BK93" s="151"/>
      <c r="BL93" s="151"/>
      <c r="BM93" s="151"/>
      <c r="BN93" s="151"/>
      <c r="BO93" s="151"/>
      <c r="BP93" s="151"/>
      <c r="BQ93" s="151"/>
      <c r="BR93" s="151"/>
    </row>
    <row r="94" s="75" customFormat="true" ht="15" hidden="false" customHeight="false" outlineLevel="0" collapsed="false">
      <c r="A94" s="141" t="s">
        <v>286</v>
      </c>
      <c r="B94" s="142" t="s">
        <v>1152</v>
      </c>
      <c r="C94" s="143" t="s">
        <v>1232</v>
      </c>
      <c r="D94" s="144" t="s">
        <v>1153</v>
      </c>
      <c r="E94" s="144" t="s">
        <v>1153</v>
      </c>
      <c r="F94" s="152" t="s">
        <v>1089</v>
      </c>
      <c r="G94" s="145" t="s">
        <v>1153</v>
      </c>
      <c r="H94" s="146" t="s">
        <v>81</v>
      </c>
      <c r="I94" s="147" t="s">
        <v>82</v>
      </c>
      <c r="J94" s="148" t="s">
        <v>81</v>
      </c>
      <c r="K94" s="149" t="s">
        <v>82</v>
      </c>
      <c r="L94" s="150"/>
      <c r="M94" s="150"/>
      <c r="N94" s="150"/>
      <c r="O94" s="150"/>
      <c r="P94" s="150"/>
      <c r="Q94" s="150"/>
      <c r="R94" s="150"/>
      <c r="S94" s="150"/>
      <c r="T94" s="150"/>
      <c r="U94" s="150"/>
      <c r="V94" s="150"/>
      <c r="W94" s="150"/>
      <c r="X94" s="150"/>
      <c r="Y94" s="150"/>
      <c r="Z94" s="150"/>
      <c r="AA94" s="150"/>
      <c r="AB94" s="150"/>
      <c r="AC94" s="150"/>
      <c r="AD94" s="150"/>
      <c r="AE94" s="150"/>
      <c r="AF94" s="150"/>
      <c r="AG94" s="150"/>
      <c r="AH94" s="150"/>
      <c r="AI94" s="150"/>
      <c r="AJ94" s="150"/>
      <c r="AK94" s="150"/>
      <c r="AL94" s="150"/>
      <c r="AM94" s="150"/>
      <c r="AN94" s="150"/>
      <c r="AO94" s="150"/>
      <c r="AP94" s="150"/>
      <c r="AQ94" s="150"/>
      <c r="AR94" s="150"/>
      <c r="AS94" s="150"/>
      <c r="AT94" s="150"/>
      <c r="AU94" s="150"/>
      <c r="AV94" s="150"/>
      <c r="AW94" s="150"/>
      <c r="AX94" s="150"/>
      <c r="AY94" s="151"/>
      <c r="AZ94" s="151"/>
      <c r="BA94" s="151"/>
      <c r="BB94" s="151"/>
      <c r="BC94" s="151"/>
      <c r="BD94" s="151"/>
      <c r="BE94" s="151"/>
      <c r="BF94" s="151"/>
      <c r="BG94" s="151"/>
      <c r="BH94" s="151"/>
      <c r="BI94" s="151"/>
      <c r="BJ94" s="151"/>
      <c r="BK94" s="151"/>
      <c r="BL94" s="151"/>
      <c r="BM94" s="151"/>
      <c r="BN94" s="151"/>
      <c r="BO94" s="151"/>
      <c r="BP94" s="151"/>
      <c r="BQ94" s="151"/>
      <c r="BR94" s="151"/>
    </row>
    <row r="95" s="75" customFormat="true" ht="15" hidden="false" customHeight="false" outlineLevel="0" collapsed="false">
      <c r="A95" s="141"/>
      <c r="B95" s="142"/>
      <c r="C95" s="143"/>
      <c r="D95" s="144"/>
      <c r="E95" s="144"/>
      <c r="F95" s="144"/>
      <c r="G95" s="145"/>
      <c r="H95" s="146"/>
      <c r="I95" s="147"/>
      <c r="J95" s="148"/>
      <c r="K95" s="149"/>
      <c r="L95" s="150"/>
      <c r="M95" s="150"/>
      <c r="N95" s="150"/>
      <c r="O95" s="150"/>
      <c r="P95" s="150"/>
      <c r="Q95" s="150"/>
      <c r="R95" s="150"/>
      <c r="S95" s="150"/>
      <c r="T95" s="150"/>
      <c r="U95" s="150"/>
      <c r="V95" s="150"/>
      <c r="W95" s="150"/>
      <c r="X95" s="150"/>
      <c r="Y95" s="150"/>
      <c r="Z95" s="150"/>
      <c r="AA95" s="150"/>
      <c r="AB95" s="150"/>
      <c r="AC95" s="150"/>
      <c r="AD95" s="150"/>
      <c r="AE95" s="150"/>
      <c r="AF95" s="150"/>
      <c r="AG95" s="150"/>
      <c r="AH95" s="150"/>
      <c r="AI95" s="150"/>
      <c r="AJ95" s="150"/>
      <c r="AK95" s="150"/>
      <c r="AL95" s="150"/>
      <c r="AM95" s="150"/>
      <c r="AN95" s="150"/>
      <c r="AO95" s="150"/>
      <c r="AP95" s="150"/>
      <c r="AQ95" s="150"/>
      <c r="AR95" s="150"/>
      <c r="AS95" s="150"/>
      <c r="AT95" s="150"/>
      <c r="AU95" s="150"/>
      <c r="AV95" s="150"/>
      <c r="AW95" s="150"/>
      <c r="AX95" s="150"/>
      <c r="AY95" s="151"/>
      <c r="AZ95" s="151"/>
      <c r="BA95" s="151"/>
      <c r="BB95" s="151"/>
      <c r="BC95" s="151"/>
      <c r="BD95" s="151"/>
      <c r="BE95" s="151"/>
      <c r="BF95" s="151"/>
      <c r="BG95" s="151"/>
      <c r="BH95" s="151"/>
      <c r="BI95" s="151"/>
      <c r="BJ95" s="151"/>
      <c r="BK95" s="151"/>
      <c r="BL95" s="151"/>
      <c r="BM95" s="151"/>
      <c r="BN95" s="151"/>
      <c r="BO95" s="151"/>
      <c r="BP95" s="151"/>
      <c r="BQ95" s="151"/>
      <c r="BR95" s="151"/>
    </row>
    <row r="96" s="75" customFormat="true" ht="30" hidden="false" customHeight="false" outlineLevel="0" collapsed="false">
      <c r="A96" s="141" t="s">
        <v>301</v>
      </c>
      <c r="B96" s="142" t="s">
        <v>1118</v>
      </c>
      <c r="C96" s="143" t="s">
        <v>302</v>
      </c>
      <c r="D96" s="144"/>
      <c r="E96" s="144"/>
      <c r="F96" s="152"/>
      <c r="G96" s="145"/>
      <c r="H96" s="146" t="s">
        <v>81</v>
      </c>
      <c r="I96" s="147" t="s">
        <v>88</v>
      </c>
      <c r="J96" s="148" t="s">
        <v>81</v>
      </c>
      <c r="K96" s="149" t="s">
        <v>88</v>
      </c>
      <c r="L96" s="150"/>
      <c r="M96" s="150"/>
      <c r="N96" s="150"/>
      <c r="O96" s="150"/>
      <c r="P96" s="150"/>
      <c r="Q96" s="150"/>
      <c r="R96" s="150"/>
      <c r="S96" s="150"/>
      <c r="T96" s="150"/>
      <c r="U96" s="150"/>
      <c r="V96" s="150"/>
      <c r="W96" s="150"/>
      <c r="X96" s="150"/>
      <c r="Y96" s="150"/>
      <c r="Z96" s="150"/>
      <c r="AA96" s="150"/>
      <c r="AB96" s="150"/>
      <c r="AC96" s="150"/>
      <c r="AD96" s="150"/>
      <c r="AE96" s="150"/>
      <c r="AF96" s="150"/>
      <c r="AG96" s="150"/>
      <c r="AH96" s="150"/>
      <c r="AI96" s="150"/>
      <c r="AJ96" s="150"/>
      <c r="AK96" s="150"/>
      <c r="AL96" s="150"/>
      <c r="AM96" s="150"/>
      <c r="AN96" s="150"/>
      <c r="AO96" s="150"/>
      <c r="AP96" s="150"/>
      <c r="AQ96" s="150"/>
      <c r="AR96" s="150"/>
      <c r="AS96" s="150"/>
      <c r="AT96" s="150"/>
      <c r="AU96" s="150"/>
      <c r="AV96" s="150"/>
      <c r="AW96" s="150"/>
      <c r="AX96" s="150"/>
      <c r="AY96" s="151"/>
      <c r="AZ96" s="151"/>
      <c r="BA96" s="151"/>
      <c r="BB96" s="151"/>
      <c r="BC96" s="151"/>
      <c r="BD96" s="151"/>
      <c r="BE96" s="151"/>
      <c r="BF96" s="151"/>
      <c r="BG96" s="151"/>
      <c r="BH96" s="151"/>
      <c r="BI96" s="151"/>
      <c r="BJ96" s="151"/>
      <c r="BK96" s="151"/>
      <c r="BL96" s="151"/>
      <c r="BM96" s="151"/>
      <c r="BN96" s="151"/>
      <c r="BO96" s="151"/>
      <c r="BP96" s="151"/>
      <c r="BQ96" s="151"/>
      <c r="BR96" s="151"/>
    </row>
    <row r="97" s="75" customFormat="true" ht="30" hidden="false" customHeight="false" outlineLevel="0" collapsed="false">
      <c r="A97" s="141" t="s">
        <v>303</v>
      </c>
      <c r="B97" s="142" t="s">
        <v>1118</v>
      </c>
      <c r="C97" s="143" t="s">
        <v>304</v>
      </c>
      <c r="D97" s="144"/>
      <c r="E97" s="144"/>
      <c r="F97" s="144"/>
      <c r="G97" s="145"/>
      <c r="H97" s="146" t="s">
        <v>81</v>
      </c>
      <c r="I97" s="147" t="s">
        <v>88</v>
      </c>
      <c r="J97" s="148" t="s">
        <v>81</v>
      </c>
      <c r="K97" s="149" t="s">
        <v>88</v>
      </c>
      <c r="L97" s="150"/>
      <c r="M97" s="150"/>
      <c r="N97" s="150"/>
      <c r="O97" s="150"/>
      <c r="P97" s="150"/>
      <c r="Q97" s="150"/>
      <c r="R97" s="150"/>
      <c r="S97" s="150"/>
      <c r="T97" s="150"/>
      <c r="U97" s="150"/>
      <c r="V97" s="150"/>
      <c r="W97" s="150"/>
      <c r="X97" s="150"/>
      <c r="Y97" s="150"/>
      <c r="Z97" s="150"/>
      <c r="AA97" s="150"/>
      <c r="AB97" s="150"/>
      <c r="AC97" s="150"/>
      <c r="AD97" s="150"/>
      <c r="AE97" s="150"/>
      <c r="AF97" s="150"/>
      <c r="AG97" s="150"/>
      <c r="AH97" s="150"/>
      <c r="AI97" s="150"/>
      <c r="AJ97" s="150"/>
      <c r="AK97" s="150"/>
      <c r="AL97" s="150"/>
      <c r="AM97" s="150"/>
      <c r="AN97" s="150"/>
      <c r="AO97" s="150"/>
      <c r="AP97" s="150"/>
      <c r="AQ97" s="150"/>
      <c r="AR97" s="150"/>
      <c r="AS97" s="150"/>
      <c r="AT97" s="150"/>
      <c r="AU97" s="150"/>
      <c r="AV97" s="150"/>
      <c r="AW97" s="150"/>
      <c r="AX97" s="150"/>
      <c r="AY97" s="151"/>
      <c r="AZ97" s="151"/>
      <c r="BA97" s="151"/>
      <c r="BB97" s="151"/>
      <c r="BC97" s="151"/>
      <c r="BD97" s="151"/>
      <c r="BE97" s="151"/>
      <c r="BF97" s="151"/>
      <c r="BG97" s="151"/>
      <c r="BH97" s="151"/>
      <c r="BI97" s="151"/>
      <c r="BJ97" s="151"/>
      <c r="BK97" s="151"/>
      <c r="BL97" s="151"/>
      <c r="BM97" s="151"/>
      <c r="BN97" s="151"/>
      <c r="BO97" s="151"/>
      <c r="BP97" s="151"/>
      <c r="BQ97" s="151"/>
      <c r="BR97" s="151"/>
    </row>
    <row r="98" s="75" customFormat="true" ht="15" hidden="false" customHeight="false" outlineLevel="0" collapsed="false">
      <c r="A98" s="141"/>
      <c r="B98" s="142"/>
      <c r="C98" s="143"/>
      <c r="D98" s="144"/>
      <c r="E98" s="144"/>
      <c r="F98" s="144"/>
      <c r="G98" s="145"/>
      <c r="H98" s="146"/>
      <c r="I98" s="147"/>
      <c r="J98" s="148"/>
      <c r="K98" s="149"/>
      <c r="L98" s="150"/>
      <c r="M98" s="150"/>
      <c r="N98" s="150"/>
      <c r="O98" s="150"/>
      <c r="P98" s="150"/>
      <c r="Q98" s="150"/>
      <c r="R98" s="150"/>
      <c r="S98" s="150"/>
      <c r="T98" s="150"/>
      <c r="U98" s="150"/>
      <c r="V98" s="150"/>
      <c r="W98" s="150"/>
      <c r="X98" s="150"/>
      <c r="Y98" s="150"/>
      <c r="Z98" s="150"/>
      <c r="AA98" s="150"/>
      <c r="AB98" s="150"/>
      <c r="AC98" s="150"/>
      <c r="AD98" s="150"/>
      <c r="AE98" s="150"/>
      <c r="AF98" s="150"/>
      <c r="AG98" s="150"/>
      <c r="AH98" s="150"/>
      <c r="AI98" s="150"/>
      <c r="AJ98" s="150"/>
      <c r="AK98" s="150"/>
      <c r="AL98" s="150"/>
      <c r="AM98" s="150"/>
      <c r="AN98" s="150"/>
      <c r="AO98" s="150"/>
      <c r="AP98" s="150"/>
      <c r="AQ98" s="150"/>
      <c r="AR98" s="150"/>
      <c r="AS98" s="150"/>
      <c r="AT98" s="150"/>
      <c r="AU98" s="150"/>
      <c r="AV98" s="150"/>
      <c r="AW98" s="150"/>
      <c r="AX98" s="150"/>
      <c r="AY98" s="151"/>
      <c r="AZ98" s="151"/>
      <c r="BA98" s="151"/>
      <c r="BB98" s="151"/>
      <c r="BC98" s="151"/>
      <c r="BD98" s="151"/>
      <c r="BE98" s="151"/>
      <c r="BF98" s="151"/>
      <c r="BG98" s="151"/>
      <c r="BH98" s="151"/>
      <c r="BI98" s="151"/>
      <c r="BJ98" s="151"/>
      <c r="BK98" s="151"/>
      <c r="BL98" s="151"/>
      <c r="BM98" s="151"/>
      <c r="BN98" s="151"/>
      <c r="BO98" s="151"/>
      <c r="BP98" s="151"/>
      <c r="BQ98" s="151"/>
      <c r="BR98" s="151"/>
    </row>
    <row r="99" s="75" customFormat="true" ht="30" hidden="false" customHeight="false" outlineLevel="0" collapsed="false">
      <c r="A99" s="141" t="s">
        <v>305</v>
      </c>
      <c r="B99" s="142" t="s">
        <v>1152</v>
      </c>
      <c r="C99" s="143" t="s">
        <v>1233</v>
      </c>
      <c r="D99" s="144" t="s">
        <v>1153</v>
      </c>
      <c r="E99" s="144" t="s">
        <v>1153</v>
      </c>
      <c r="F99" s="144" t="s">
        <v>1089</v>
      </c>
      <c r="G99" s="145" t="s">
        <v>1153</v>
      </c>
      <c r="H99" s="146" t="s">
        <v>81</v>
      </c>
      <c r="I99" s="147" t="s">
        <v>82</v>
      </c>
      <c r="J99" s="148" t="s">
        <v>81</v>
      </c>
      <c r="K99" s="149" t="s">
        <v>82</v>
      </c>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0"/>
      <c r="AM99" s="150"/>
      <c r="AN99" s="150"/>
      <c r="AO99" s="150"/>
      <c r="AP99" s="150"/>
      <c r="AQ99" s="150"/>
      <c r="AR99" s="150"/>
      <c r="AS99" s="150"/>
      <c r="AT99" s="150"/>
      <c r="AU99" s="150"/>
      <c r="AV99" s="150"/>
      <c r="AW99" s="150"/>
      <c r="AX99" s="150"/>
      <c r="AY99" s="151"/>
      <c r="AZ99" s="151"/>
      <c r="BA99" s="151"/>
      <c r="BB99" s="151"/>
      <c r="BC99" s="151"/>
      <c r="BD99" s="151"/>
      <c r="BE99" s="151"/>
      <c r="BF99" s="151"/>
      <c r="BG99" s="151"/>
      <c r="BH99" s="151"/>
      <c r="BI99" s="151"/>
      <c r="BJ99" s="151"/>
      <c r="BK99" s="151"/>
      <c r="BL99" s="151"/>
      <c r="BM99" s="151"/>
      <c r="BN99" s="151"/>
      <c r="BO99" s="151"/>
      <c r="BP99" s="151"/>
      <c r="BQ99" s="151"/>
      <c r="BR99" s="151"/>
    </row>
    <row r="100" s="75" customFormat="true" ht="15" hidden="false" customHeight="false" outlineLevel="0" collapsed="false">
      <c r="A100" s="141" t="s">
        <v>307</v>
      </c>
      <c r="B100" s="142" t="s">
        <v>1152</v>
      </c>
      <c r="C100" s="143" t="s">
        <v>1234</v>
      </c>
      <c r="D100" s="144" t="s">
        <v>1153</v>
      </c>
      <c r="E100" s="144" t="s">
        <v>1153</v>
      </c>
      <c r="F100" s="144" t="s">
        <v>1089</v>
      </c>
      <c r="G100" s="145" t="s">
        <v>1153</v>
      </c>
      <c r="H100" s="146" t="s">
        <v>81</v>
      </c>
      <c r="I100" s="147" t="s">
        <v>82</v>
      </c>
      <c r="J100" s="148" t="s">
        <v>81</v>
      </c>
      <c r="K100" s="149" t="s">
        <v>82</v>
      </c>
      <c r="L100" s="150"/>
      <c r="M100" s="150"/>
      <c r="N100" s="150"/>
      <c r="O100" s="150"/>
      <c r="P100" s="150"/>
      <c r="Q100" s="150"/>
      <c r="R100" s="150"/>
      <c r="S100" s="150"/>
      <c r="T100" s="150"/>
      <c r="U100" s="150"/>
      <c r="V100" s="150"/>
      <c r="W100" s="150"/>
      <c r="X100" s="150"/>
      <c r="Y100" s="150"/>
      <c r="Z100" s="150"/>
      <c r="AA100" s="150"/>
      <c r="AB100" s="150"/>
      <c r="AC100" s="150"/>
      <c r="AD100" s="150"/>
      <c r="AE100" s="150"/>
      <c r="AF100" s="150"/>
      <c r="AG100" s="150"/>
      <c r="AH100" s="150"/>
      <c r="AI100" s="150"/>
      <c r="AJ100" s="150"/>
      <c r="AK100" s="150"/>
      <c r="AL100" s="150"/>
      <c r="AM100" s="150"/>
      <c r="AN100" s="150"/>
      <c r="AO100" s="150"/>
      <c r="AP100" s="150"/>
      <c r="AQ100" s="150"/>
      <c r="AR100" s="150"/>
      <c r="AS100" s="150"/>
      <c r="AT100" s="150"/>
      <c r="AU100" s="150"/>
      <c r="AV100" s="150"/>
      <c r="AW100" s="150"/>
      <c r="AX100" s="150"/>
      <c r="AY100" s="151"/>
      <c r="AZ100" s="151"/>
      <c r="BA100" s="151"/>
      <c r="BB100" s="151"/>
      <c r="BC100" s="151"/>
      <c r="BD100" s="151"/>
      <c r="BE100" s="151"/>
      <c r="BF100" s="151"/>
      <c r="BG100" s="151"/>
      <c r="BH100" s="151"/>
      <c r="BI100" s="151"/>
      <c r="BJ100" s="151"/>
      <c r="BK100" s="151"/>
      <c r="BL100" s="151"/>
      <c r="BM100" s="151"/>
      <c r="BN100" s="151"/>
      <c r="BO100" s="151"/>
      <c r="BP100" s="151"/>
      <c r="BQ100" s="151"/>
      <c r="BR100" s="151"/>
    </row>
    <row r="101" s="75" customFormat="true" ht="15" hidden="false" customHeight="false" outlineLevel="0" collapsed="false">
      <c r="A101" s="141"/>
      <c r="B101" s="142"/>
      <c r="C101" s="143"/>
      <c r="D101" s="144"/>
      <c r="E101" s="144"/>
      <c r="F101" s="144"/>
      <c r="G101" s="145"/>
      <c r="H101" s="146"/>
      <c r="I101" s="147"/>
      <c r="J101" s="148"/>
      <c r="K101" s="149"/>
      <c r="L101" s="150"/>
      <c r="M101" s="150"/>
      <c r="N101" s="150"/>
      <c r="O101" s="150"/>
      <c r="P101" s="150"/>
      <c r="Q101" s="150"/>
      <c r="R101" s="150"/>
      <c r="S101" s="150"/>
      <c r="T101" s="150"/>
      <c r="U101" s="150"/>
      <c r="V101" s="150"/>
      <c r="W101" s="150"/>
      <c r="X101" s="150"/>
      <c r="Y101" s="150"/>
      <c r="Z101" s="150"/>
      <c r="AA101" s="150"/>
      <c r="AB101" s="150"/>
      <c r="AC101" s="150"/>
      <c r="AD101" s="150"/>
      <c r="AE101" s="150"/>
      <c r="AF101" s="150"/>
      <c r="AG101" s="150"/>
      <c r="AH101" s="150"/>
      <c r="AI101" s="150"/>
      <c r="AJ101" s="150"/>
      <c r="AK101" s="150"/>
      <c r="AL101" s="150"/>
      <c r="AM101" s="150"/>
      <c r="AN101" s="150"/>
      <c r="AO101" s="150"/>
      <c r="AP101" s="150"/>
      <c r="AQ101" s="150"/>
      <c r="AR101" s="150"/>
      <c r="AS101" s="150"/>
      <c r="AT101" s="150"/>
      <c r="AU101" s="150"/>
      <c r="AV101" s="150"/>
      <c r="AW101" s="150"/>
      <c r="AX101" s="150"/>
      <c r="AY101" s="151"/>
      <c r="AZ101" s="151"/>
      <c r="BA101" s="151"/>
      <c r="BB101" s="151"/>
      <c r="BC101" s="151"/>
      <c r="BD101" s="151"/>
      <c r="BE101" s="151"/>
      <c r="BF101" s="151"/>
      <c r="BG101" s="151"/>
      <c r="BH101" s="151"/>
      <c r="BI101" s="151"/>
      <c r="BJ101" s="151"/>
      <c r="BK101" s="151"/>
      <c r="BL101" s="151"/>
      <c r="BM101" s="151"/>
      <c r="BN101" s="151"/>
      <c r="BO101" s="151"/>
      <c r="BP101" s="151"/>
      <c r="BQ101" s="151"/>
      <c r="BR101" s="151"/>
    </row>
    <row r="102" s="75" customFormat="true" ht="30" hidden="false" customHeight="false" outlineLevel="0" collapsed="false">
      <c r="A102" s="141" t="s">
        <v>326</v>
      </c>
      <c r="B102" s="142" t="s">
        <v>1090</v>
      </c>
      <c r="C102" s="143" t="s">
        <v>1235</v>
      </c>
      <c r="D102" s="144"/>
      <c r="E102" s="144"/>
      <c r="F102" s="144"/>
      <c r="G102" s="145"/>
      <c r="H102" s="146" t="s">
        <v>478</v>
      </c>
      <c r="I102" s="147" t="s">
        <v>88</v>
      </c>
      <c r="J102" s="148" t="s">
        <v>478</v>
      </c>
      <c r="K102" s="149" t="s">
        <v>88</v>
      </c>
      <c r="L102" s="150" t="s">
        <v>1236</v>
      </c>
      <c r="M102" s="150" t="s">
        <v>1237</v>
      </c>
      <c r="N102" s="150" t="s">
        <v>1238</v>
      </c>
      <c r="O102" s="150" t="s">
        <v>1239</v>
      </c>
      <c r="P102" s="150"/>
      <c r="Q102" s="150"/>
      <c r="R102" s="150"/>
      <c r="S102" s="150"/>
      <c r="T102" s="150"/>
      <c r="U102" s="150"/>
      <c r="V102" s="150"/>
      <c r="W102" s="150"/>
      <c r="X102" s="150"/>
      <c r="Y102" s="150"/>
      <c r="Z102" s="150"/>
      <c r="AA102" s="150"/>
      <c r="AB102" s="150"/>
      <c r="AC102" s="150"/>
      <c r="AD102" s="150"/>
      <c r="AE102" s="150"/>
      <c r="AF102" s="150"/>
      <c r="AG102" s="150"/>
      <c r="AH102" s="150"/>
      <c r="AI102" s="150"/>
      <c r="AJ102" s="150"/>
      <c r="AK102" s="150"/>
      <c r="AL102" s="150"/>
      <c r="AM102" s="150"/>
      <c r="AN102" s="150"/>
      <c r="AO102" s="150"/>
      <c r="AP102" s="150"/>
      <c r="AQ102" s="150"/>
      <c r="AR102" s="150"/>
      <c r="AS102" s="150"/>
      <c r="AT102" s="150"/>
      <c r="AU102" s="150"/>
      <c r="AV102" s="150"/>
      <c r="AW102" s="150"/>
      <c r="AX102" s="150"/>
      <c r="AY102" s="151"/>
      <c r="AZ102" s="151"/>
      <c r="BA102" s="151"/>
      <c r="BB102" s="151"/>
      <c r="BC102" s="151"/>
      <c r="BD102" s="151"/>
      <c r="BE102" s="151"/>
      <c r="BF102" s="151"/>
      <c r="BG102" s="151"/>
      <c r="BH102" s="151"/>
      <c r="BI102" s="151"/>
      <c r="BJ102" s="151"/>
      <c r="BK102" s="151"/>
      <c r="BL102" s="151"/>
      <c r="BM102" s="151"/>
      <c r="BN102" s="151"/>
      <c r="BO102" s="151"/>
      <c r="BP102" s="151"/>
      <c r="BQ102" s="151"/>
      <c r="BR102" s="151"/>
    </row>
    <row r="103" s="75" customFormat="true" ht="15" hidden="false" customHeight="false" outlineLevel="0" collapsed="false">
      <c r="A103" s="141" t="s">
        <v>332</v>
      </c>
      <c r="B103" s="142" t="s">
        <v>1090</v>
      </c>
      <c r="C103" s="143" t="s">
        <v>1240</v>
      </c>
      <c r="D103" s="144"/>
      <c r="E103" s="144"/>
      <c r="F103" s="144"/>
      <c r="G103" s="145"/>
      <c r="H103" s="146" t="s">
        <v>478</v>
      </c>
      <c r="I103" s="147" t="s">
        <v>88</v>
      </c>
      <c r="J103" s="148" t="s">
        <v>478</v>
      </c>
      <c r="K103" s="149" t="s">
        <v>88</v>
      </c>
      <c r="L103" s="150" t="s">
        <v>1236</v>
      </c>
      <c r="M103" s="150" t="s">
        <v>1237</v>
      </c>
      <c r="N103" s="150" t="s">
        <v>1238</v>
      </c>
      <c r="O103" s="150" t="s">
        <v>1241</v>
      </c>
      <c r="P103" s="150" t="s">
        <v>1242</v>
      </c>
      <c r="Q103" s="150" t="s">
        <v>1243</v>
      </c>
      <c r="R103" s="150" t="s">
        <v>1239</v>
      </c>
      <c r="S103" s="150"/>
      <c r="T103" s="150"/>
      <c r="U103" s="150"/>
      <c r="V103" s="150"/>
      <c r="W103" s="150"/>
      <c r="X103" s="150"/>
      <c r="Y103" s="150"/>
      <c r="Z103" s="150"/>
      <c r="AA103" s="150"/>
      <c r="AB103" s="150"/>
      <c r="AC103" s="150"/>
      <c r="AD103" s="150"/>
      <c r="AE103" s="150"/>
      <c r="AF103" s="150"/>
      <c r="AG103" s="150"/>
      <c r="AH103" s="150"/>
      <c r="AI103" s="150"/>
      <c r="AJ103" s="150"/>
      <c r="AK103" s="150"/>
      <c r="AL103" s="150"/>
      <c r="AM103" s="150"/>
      <c r="AN103" s="150"/>
      <c r="AO103" s="150"/>
      <c r="AP103" s="150"/>
      <c r="AQ103" s="150"/>
      <c r="AR103" s="150"/>
      <c r="AS103" s="150"/>
      <c r="AT103" s="150"/>
      <c r="AU103" s="150"/>
      <c r="AV103" s="150"/>
      <c r="AW103" s="150"/>
      <c r="AX103" s="150"/>
      <c r="AY103" s="151"/>
      <c r="AZ103" s="151"/>
      <c r="BA103" s="151"/>
      <c r="BB103" s="151"/>
      <c r="BC103" s="151"/>
      <c r="BD103" s="151"/>
      <c r="BE103" s="151"/>
      <c r="BF103" s="151"/>
      <c r="BG103" s="151"/>
      <c r="BH103" s="151"/>
      <c r="BI103" s="151"/>
      <c r="BJ103" s="151"/>
      <c r="BK103" s="151"/>
      <c r="BL103" s="151"/>
      <c r="BM103" s="151"/>
      <c r="BN103" s="151"/>
      <c r="BO103" s="151"/>
      <c r="BP103" s="151"/>
      <c r="BQ103" s="151"/>
      <c r="BR103" s="151"/>
    </row>
    <row r="104" s="75" customFormat="true" ht="30" hidden="false" customHeight="false" outlineLevel="0" collapsed="false">
      <c r="A104" s="141" t="s">
        <v>338</v>
      </c>
      <c r="B104" s="142" t="s">
        <v>1090</v>
      </c>
      <c r="C104" s="143" t="s">
        <v>1244</v>
      </c>
      <c r="D104" s="144"/>
      <c r="E104" s="144"/>
      <c r="F104" s="144"/>
      <c r="G104" s="145"/>
      <c r="H104" s="146" t="s">
        <v>478</v>
      </c>
      <c r="I104" s="147" t="s">
        <v>88</v>
      </c>
      <c r="J104" s="148" t="s">
        <v>478</v>
      </c>
      <c r="K104" s="149" t="s">
        <v>88</v>
      </c>
      <c r="L104" s="150" t="s">
        <v>1245</v>
      </c>
      <c r="M104" s="150" t="s">
        <v>1246</v>
      </c>
      <c r="N104" s="150" t="s">
        <v>1247</v>
      </c>
      <c r="O104" s="150" t="s">
        <v>1239</v>
      </c>
      <c r="P104" s="150"/>
      <c r="Q104" s="150"/>
      <c r="R104" s="150"/>
      <c r="S104" s="150"/>
      <c r="T104" s="150"/>
      <c r="U104" s="150"/>
      <c r="V104" s="150"/>
      <c r="W104" s="150"/>
      <c r="X104" s="150"/>
      <c r="Y104" s="150"/>
      <c r="Z104" s="150"/>
      <c r="AA104" s="150"/>
      <c r="AB104" s="150"/>
      <c r="AC104" s="150"/>
      <c r="AD104" s="150"/>
      <c r="AE104" s="150"/>
      <c r="AF104" s="150"/>
      <c r="AG104" s="150"/>
      <c r="AH104" s="150"/>
      <c r="AI104" s="150"/>
      <c r="AJ104" s="150"/>
      <c r="AK104" s="150"/>
      <c r="AL104" s="150"/>
      <c r="AM104" s="150"/>
      <c r="AN104" s="150"/>
      <c r="AO104" s="150"/>
      <c r="AP104" s="150"/>
      <c r="AQ104" s="150"/>
      <c r="AR104" s="150"/>
      <c r="AS104" s="150"/>
      <c r="AT104" s="150"/>
      <c r="AU104" s="150"/>
      <c r="AV104" s="150"/>
      <c r="AW104" s="150"/>
      <c r="AX104" s="150"/>
      <c r="AY104" s="151"/>
      <c r="AZ104" s="151"/>
      <c r="BA104" s="151"/>
      <c r="BB104" s="151"/>
      <c r="BC104" s="151"/>
      <c r="BD104" s="151"/>
      <c r="BE104" s="151"/>
      <c r="BF104" s="151"/>
      <c r="BG104" s="151"/>
      <c r="BH104" s="151"/>
      <c r="BI104" s="151"/>
      <c r="BJ104" s="151"/>
      <c r="BK104" s="151"/>
      <c r="BL104" s="151"/>
      <c r="BM104" s="151"/>
      <c r="BN104" s="151"/>
      <c r="BO104" s="151"/>
      <c r="BP104" s="151"/>
      <c r="BQ104" s="151"/>
      <c r="BR104" s="151"/>
    </row>
    <row r="105" s="75" customFormat="true" ht="15" hidden="false" customHeight="false" outlineLevel="0" collapsed="false">
      <c r="A105" s="141" t="s">
        <v>343</v>
      </c>
      <c r="B105" s="142" t="s">
        <v>1090</v>
      </c>
      <c r="C105" s="143" t="s">
        <v>1248</v>
      </c>
      <c r="D105" s="144"/>
      <c r="E105" s="144"/>
      <c r="F105" s="144"/>
      <c r="G105" s="145"/>
      <c r="H105" s="146" t="s">
        <v>478</v>
      </c>
      <c r="I105" s="147" t="s">
        <v>88</v>
      </c>
      <c r="J105" s="148" t="s">
        <v>478</v>
      </c>
      <c r="K105" s="149" t="s">
        <v>88</v>
      </c>
      <c r="L105" s="150" t="s">
        <v>1245</v>
      </c>
      <c r="M105" s="150" t="s">
        <v>1246</v>
      </c>
      <c r="N105" s="150" t="s">
        <v>1247</v>
      </c>
      <c r="O105" s="150" t="s">
        <v>1241</v>
      </c>
      <c r="P105" s="150" t="s">
        <v>1242</v>
      </c>
      <c r="Q105" s="150" t="s">
        <v>1243</v>
      </c>
      <c r="R105" s="150" t="s">
        <v>1239</v>
      </c>
      <c r="S105" s="150"/>
      <c r="T105" s="150"/>
      <c r="U105" s="150"/>
      <c r="V105" s="150"/>
      <c r="W105" s="150"/>
      <c r="X105" s="150"/>
      <c r="Y105" s="150"/>
      <c r="Z105" s="150"/>
      <c r="AA105" s="150"/>
      <c r="AB105" s="150"/>
      <c r="AC105" s="150"/>
      <c r="AD105" s="150"/>
      <c r="AE105" s="150"/>
      <c r="AF105" s="150"/>
      <c r="AG105" s="150"/>
      <c r="AH105" s="150"/>
      <c r="AI105" s="150"/>
      <c r="AJ105" s="150"/>
      <c r="AK105" s="150"/>
      <c r="AL105" s="150"/>
      <c r="AM105" s="150"/>
      <c r="AN105" s="150"/>
      <c r="AO105" s="150"/>
      <c r="AP105" s="150"/>
      <c r="AQ105" s="150"/>
      <c r="AR105" s="150"/>
      <c r="AS105" s="150"/>
      <c r="AT105" s="150"/>
      <c r="AU105" s="150"/>
      <c r="AV105" s="150"/>
      <c r="AW105" s="150"/>
      <c r="AX105" s="150"/>
      <c r="AY105" s="151"/>
      <c r="AZ105" s="151"/>
      <c r="BA105" s="151"/>
      <c r="BB105" s="151"/>
      <c r="BC105" s="151"/>
      <c r="BD105" s="151"/>
      <c r="BE105" s="151"/>
      <c r="BF105" s="151"/>
      <c r="BG105" s="151"/>
      <c r="BH105" s="151"/>
      <c r="BI105" s="151"/>
      <c r="BJ105" s="151"/>
      <c r="BK105" s="151"/>
      <c r="BL105" s="151"/>
      <c r="BM105" s="151"/>
      <c r="BN105" s="151"/>
      <c r="BO105" s="151"/>
      <c r="BP105" s="151"/>
      <c r="BQ105" s="151"/>
      <c r="BR105" s="151"/>
    </row>
    <row r="106" s="75" customFormat="true" ht="15" hidden="false" customHeight="false" outlineLevel="0" collapsed="false">
      <c r="A106" s="141"/>
      <c r="B106" s="142"/>
      <c r="C106" s="143"/>
      <c r="D106" s="144"/>
      <c r="E106" s="144"/>
      <c r="F106" s="144"/>
      <c r="G106" s="145"/>
      <c r="H106" s="146"/>
      <c r="I106" s="147"/>
      <c r="J106" s="148"/>
      <c r="K106" s="149"/>
      <c r="L106" s="150"/>
      <c r="M106" s="150"/>
      <c r="N106" s="150"/>
      <c r="O106" s="150"/>
      <c r="P106" s="150"/>
      <c r="Q106" s="150"/>
      <c r="R106" s="150"/>
      <c r="S106" s="150"/>
      <c r="T106" s="150"/>
      <c r="U106" s="150"/>
      <c r="V106" s="150"/>
      <c r="W106" s="150"/>
      <c r="X106" s="150"/>
      <c r="Y106" s="150"/>
      <c r="Z106" s="150"/>
      <c r="AA106" s="150"/>
      <c r="AB106" s="150"/>
      <c r="AC106" s="150"/>
      <c r="AD106" s="150"/>
      <c r="AE106" s="150"/>
      <c r="AF106" s="150"/>
      <c r="AG106" s="150"/>
      <c r="AH106" s="150"/>
      <c r="AI106" s="150"/>
      <c r="AJ106" s="150"/>
      <c r="AK106" s="150"/>
      <c r="AL106" s="150"/>
      <c r="AM106" s="150"/>
      <c r="AN106" s="150"/>
      <c r="AO106" s="150"/>
      <c r="AP106" s="150"/>
      <c r="AQ106" s="150"/>
      <c r="AR106" s="150"/>
      <c r="AS106" s="150"/>
      <c r="AT106" s="150"/>
      <c r="AU106" s="150"/>
      <c r="AV106" s="150"/>
      <c r="AW106" s="150"/>
      <c r="AX106" s="150"/>
      <c r="AY106" s="151"/>
      <c r="AZ106" s="151"/>
      <c r="BA106" s="151"/>
      <c r="BB106" s="151"/>
      <c r="BC106" s="151"/>
      <c r="BD106" s="151"/>
      <c r="BE106" s="151"/>
      <c r="BF106" s="151"/>
      <c r="BG106" s="151"/>
      <c r="BH106" s="151"/>
      <c r="BI106" s="151"/>
      <c r="BJ106" s="151"/>
      <c r="BK106" s="151"/>
      <c r="BL106" s="151"/>
      <c r="BM106" s="151"/>
      <c r="BN106" s="151"/>
      <c r="BO106" s="151"/>
      <c r="BP106" s="151"/>
      <c r="BQ106" s="151"/>
      <c r="BR106" s="151"/>
    </row>
    <row r="107" s="75" customFormat="true" ht="15" hidden="false" customHeight="false" outlineLevel="0" collapsed="false">
      <c r="A107" s="141" t="s">
        <v>351</v>
      </c>
      <c r="B107" s="142" t="s">
        <v>1152</v>
      </c>
      <c r="C107" s="143" t="s">
        <v>1249</v>
      </c>
      <c r="D107" s="144" t="s">
        <v>1086</v>
      </c>
      <c r="E107" s="144" t="s">
        <v>1153</v>
      </c>
      <c r="F107" s="144" t="s">
        <v>1087</v>
      </c>
      <c r="G107" s="145" t="s">
        <v>1153</v>
      </c>
      <c r="H107" s="146" t="s">
        <v>81</v>
      </c>
      <c r="I107" s="147" t="s">
        <v>82</v>
      </c>
      <c r="J107" s="148" t="s">
        <v>81</v>
      </c>
      <c r="K107" s="149" t="s">
        <v>82</v>
      </c>
      <c r="L107" s="150"/>
      <c r="M107" s="150"/>
      <c r="N107" s="150"/>
      <c r="O107" s="150"/>
      <c r="P107" s="150"/>
      <c r="Q107" s="150"/>
      <c r="R107" s="150"/>
      <c r="S107" s="150"/>
      <c r="T107" s="150"/>
      <c r="U107" s="150"/>
      <c r="V107" s="150"/>
      <c r="W107" s="150"/>
      <c r="X107" s="150"/>
      <c r="Y107" s="150"/>
      <c r="Z107" s="150"/>
      <c r="AA107" s="150"/>
      <c r="AB107" s="150"/>
      <c r="AC107" s="150"/>
      <c r="AD107" s="150"/>
      <c r="AE107" s="150"/>
      <c r="AF107" s="150"/>
      <c r="AG107" s="150"/>
      <c r="AH107" s="150"/>
      <c r="AI107" s="150"/>
      <c r="AJ107" s="150"/>
      <c r="AK107" s="150"/>
      <c r="AL107" s="150"/>
      <c r="AM107" s="150"/>
      <c r="AN107" s="150"/>
      <c r="AO107" s="150"/>
      <c r="AP107" s="150"/>
      <c r="AQ107" s="150"/>
      <c r="AR107" s="150"/>
      <c r="AS107" s="150"/>
      <c r="AT107" s="150"/>
      <c r="AU107" s="150"/>
      <c r="AV107" s="150"/>
      <c r="AW107" s="150"/>
      <c r="AX107" s="150"/>
      <c r="AY107" s="151"/>
      <c r="AZ107" s="151"/>
      <c r="BA107" s="151"/>
      <c r="BB107" s="151"/>
      <c r="BC107" s="151"/>
      <c r="BD107" s="151"/>
      <c r="BE107" s="151"/>
      <c r="BF107" s="151"/>
      <c r="BG107" s="151"/>
      <c r="BH107" s="151"/>
      <c r="BI107" s="151"/>
      <c r="BJ107" s="151"/>
      <c r="BK107" s="151"/>
      <c r="BL107" s="151"/>
      <c r="BM107" s="151"/>
      <c r="BN107" s="151"/>
      <c r="BO107" s="151"/>
      <c r="BP107" s="151"/>
      <c r="BQ107" s="151"/>
      <c r="BR107" s="151"/>
    </row>
    <row r="108" customFormat="false" ht="15" hidden="false" customHeight="false" outlineLevel="0" collapsed="false">
      <c r="A108" s="141"/>
      <c r="B108" s="142"/>
      <c r="C108" s="143"/>
      <c r="D108" s="144"/>
      <c r="E108" s="144"/>
      <c r="F108" s="144"/>
      <c r="G108" s="145"/>
      <c r="H108" s="146"/>
      <c r="I108" s="147"/>
      <c r="J108" s="148"/>
      <c r="K108" s="149"/>
      <c r="L108" s="150"/>
      <c r="M108" s="150"/>
      <c r="N108" s="150"/>
      <c r="O108" s="150"/>
      <c r="P108" s="150"/>
      <c r="Q108" s="150"/>
      <c r="R108" s="150"/>
      <c r="S108" s="150"/>
      <c r="T108" s="150"/>
      <c r="U108" s="150"/>
      <c r="V108" s="150"/>
      <c r="W108" s="150"/>
      <c r="X108" s="150"/>
      <c r="Y108" s="150"/>
      <c r="Z108" s="150"/>
      <c r="AA108" s="150"/>
      <c r="AB108" s="150"/>
      <c r="AC108" s="150"/>
      <c r="AD108" s="150"/>
      <c r="AE108" s="150"/>
      <c r="AF108" s="150"/>
      <c r="AG108" s="150"/>
      <c r="AH108" s="150"/>
      <c r="AI108" s="150"/>
      <c r="AJ108" s="150"/>
      <c r="AK108" s="150"/>
      <c r="AL108" s="150"/>
      <c r="AM108" s="150"/>
      <c r="AN108" s="150"/>
      <c r="AO108" s="150"/>
      <c r="AP108" s="150"/>
      <c r="AQ108" s="150"/>
      <c r="AR108" s="150"/>
      <c r="AS108" s="150"/>
      <c r="AT108" s="150"/>
      <c r="AU108" s="150"/>
      <c r="AV108" s="150"/>
      <c r="AW108" s="150"/>
      <c r="AX108" s="150"/>
      <c r="AY108" s="151"/>
      <c r="AZ108" s="151"/>
      <c r="BA108" s="151"/>
      <c r="BB108" s="151"/>
      <c r="BC108" s="151"/>
      <c r="BD108" s="151"/>
      <c r="BE108" s="151"/>
      <c r="BF108" s="151"/>
      <c r="BG108" s="151"/>
      <c r="BH108" s="151"/>
      <c r="BI108" s="151"/>
      <c r="BJ108" s="151"/>
      <c r="BK108" s="151"/>
      <c r="BL108" s="151"/>
      <c r="BM108" s="151"/>
      <c r="BN108" s="151"/>
      <c r="BO108" s="151"/>
      <c r="BP108" s="151"/>
      <c r="BQ108" s="151"/>
      <c r="BR108" s="151"/>
    </row>
    <row r="109" s="75" customFormat="true" ht="15" hidden="false" customHeight="false" outlineLevel="0" collapsed="false">
      <c r="A109" s="141" t="s">
        <v>365</v>
      </c>
      <c r="B109" s="142" t="s">
        <v>1152</v>
      </c>
      <c r="C109" s="143" t="s">
        <v>1250</v>
      </c>
      <c r="D109" s="144" t="s">
        <v>1086</v>
      </c>
      <c r="E109" s="144" t="s">
        <v>1153</v>
      </c>
      <c r="F109" s="144" t="s">
        <v>1089</v>
      </c>
      <c r="G109" s="145" t="s">
        <v>1153</v>
      </c>
      <c r="H109" s="146" t="s">
        <v>81</v>
      </c>
      <c r="I109" s="147" t="s">
        <v>82</v>
      </c>
      <c r="J109" s="148" t="s">
        <v>81</v>
      </c>
      <c r="K109" s="149" t="s">
        <v>82</v>
      </c>
      <c r="L109" s="150"/>
      <c r="M109" s="150"/>
      <c r="N109" s="150"/>
      <c r="O109" s="150"/>
      <c r="P109" s="150"/>
      <c r="Q109" s="150"/>
      <c r="R109" s="150"/>
      <c r="S109" s="150"/>
      <c r="T109" s="150"/>
      <c r="U109" s="150"/>
      <c r="V109" s="150"/>
      <c r="W109" s="150"/>
      <c r="X109" s="150"/>
      <c r="Y109" s="150"/>
      <c r="Z109" s="150"/>
      <c r="AA109" s="150"/>
      <c r="AB109" s="150"/>
      <c r="AC109" s="150"/>
      <c r="AD109" s="150"/>
      <c r="AE109" s="150"/>
      <c r="AF109" s="150"/>
      <c r="AG109" s="150"/>
      <c r="AH109" s="150"/>
      <c r="AI109" s="150"/>
      <c r="AJ109" s="150"/>
      <c r="AK109" s="150"/>
      <c r="AL109" s="150"/>
      <c r="AM109" s="150"/>
      <c r="AN109" s="150"/>
      <c r="AO109" s="150"/>
      <c r="AP109" s="150"/>
      <c r="AQ109" s="150"/>
      <c r="AR109" s="150"/>
      <c r="AS109" s="150"/>
      <c r="AT109" s="150"/>
      <c r="AU109" s="150"/>
      <c r="AV109" s="150"/>
      <c r="AW109" s="150"/>
      <c r="AX109" s="150"/>
      <c r="AY109" s="151"/>
      <c r="AZ109" s="151"/>
      <c r="BA109" s="151"/>
      <c r="BB109" s="151"/>
      <c r="BC109" s="151"/>
      <c r="BD109" s="151"/>
      <c r="BE109" s="151"/>
      <c r="BF109" s="151"/>
      <c r="BG109" s="151"/>
      <c r="BH109" s="151"/>
      <c r="BI109" s="151"/>
      <c r="BJ109" s="151"/>
      <c r="BK109" s="151"/>
      <c r="BL109" s="151"/>
      <c r="BM109" s="151"/>
      <c r="BN109" s="151"/>
      <c r="BO109" s="151"/>
      <c r="BP109" s="151"/>
      <c r="BQ109" s="151"/>
      <c r="BR109" s="151"/>
    </row>
    <row r="110" s="75" customFormat="true" ht="30" hidden="false" customHeight="false" outlineLevel="0" collapsed="false">
      <c r="A110" s="141" t="s">
        <v>367</v>
      </c>
      <c r="B110" s="142" t="s">
        <v>1152</v>
      </c>
      <c r="C110" s="143" t="s">
        <v>1251</v>
      </c>
      <c r="D110" s="144" t="s">
        <v>1086</v>
      </c>
      <c r="E110" s="144" t="s">
        <v>1153</v>
      </c>
      <c r="F110" s="144" t="s">
        <v>1089</v>
      </c>
      <c r="G110" s="145" t="s">
        <v>1153</v>
      </c>
      <c r="H110" s="146" t="s">
        <v>1252</v>
      </c>
      <c r="I110" s="147" t="s">
        <v>82</v>
      </c>
      <c r="J110" s="148" t="s">
        <v>1252</v>
      </c>
      <c r="K110" s="149" t="s">
        <v>82</v>
      </c>
      <c r="L110" s="150" t="s">
        <v>1253</v>
      </c>
      <c r="M110" s="150"/>
      <c r="N110" s="150"/>
      <c r="O110" s="150"/>
      <c r="P110" s="150"/>
      <c r="Q110" s="150"/>
      <c r="R110" s="150"/>
      <c r="S110" s="150"/>
      <c r="T110" s="150"/>
      <c r="U110" s="150"/>
      <c r="V110" s="150"/>
      <c r="W110" s="150"/>
      <c r="X110" s="150"/>
      <c r="Y110" s="150"/>
      <c r="Z110" s="150"/>
      <c r="AA110" s="150"/>
      <c r="AB110" s="150"/>
      <c r="AC110" s="150"/>
      <c r="AD110" s="150"/>
      <c r="AE110" s="150"/>
      <c r="AF110" s="150"/>
      <c r="AG110" s="150"/>
      <c r="AH110" s="150"/>
      <c r="AI110" s="150"/>
      <c r="AJ110" s="150"/>
      <c r="AK110" s="150"/>
      <c r="AL110" s="150"/>
      <c r="AM110" s="150"/>
      <c r="AN110" s="150"/>
      <c r="AO110" s="150"/>
      <c r="AP110" s="150"/>
      <c r="AQ110" s="150"/>
      <c r="AR110" s="150"/>
      <c r="AS110" s="150"/>
      <c r="AT110" s="150"/>
      <c r="AU110" s="150"/>
      <c r="AV110" s="150"/>
      <c r="AW110" s="150"/>
      <c r="AX110" s="150"/>
      <c r="AY110" s="151"/>
      <c r="AZ110" s="151"/>
      <c r="BA110" s="151"/>
      <c r="BB110" s="151"/>
      <c r="BC110" s="151"/>
      <c r="BD110" s="151"/>
      <c r="BE110" s="151"/>
      <c r="BF110" s="151"/>
      <c r="BG110" s="151"/>
      <c r="BH110" s="151"/>
      <c r="BI110" s="151"/>
      <c r="BJ110" s="151"/>
      <c r="BK110" s="151"/>
      <c r="BL110" s="151"/>
      <c r="BM110" s="151"/>
      <c r="BN110" s="151"/>
      <c r="BO110" s="151"/>
      <c r="BP110" s="151"/>
      <c r="BQ110" s="151"/>
      <c r="BR110" s="151"/>
    </row>
    <row r="111" s="75" customFormat="true" ht="15" hidden="false" customHeight="false" outlineLevel="0" collapsed="false">
      <c r="A111" s="141" t="s">
        <v>370</v>
      </c>
      <c r="B111" s="142" t="s">
        <v>1152</v>
      </c>
      <c r="C111" s="143" t="s">
        <v>1254</v>
      </c>
      <c r="D111" s="144" t="s">
        <v>1086</v>
      </c>
      <c r="E111" s="144" t="s">
        <v>1153</v>
      </c>
      <c r="F111" s="144" t="s">
        <v>1089</v>
      </c>
      <c r="G111" s="145" t="s">
        <v>1153</v>
      </c>
      <c r="H111" s="146" t="s">
        <v>81</v>
      </c>
      <c r="I111" s="147" t="s">
        <v>82</v>
      </c>
      <c r="J111" s="148" t="s">
        <v>81</v>
      </c>
      <c r="K111" s="149" t="s">
        <v>82</v>
      </c>
      <c r="L111" s="150"/>
      <c r="M111" s="150"/>
      <c r="N111" s="150"/>
      <c r="O111" s="150"/>
      <c r="P111" s="150"/>
      <c r="Q111" s="150"/>
      <c r="R111" s="150"/>
      <c r="S111" s="150"/>
      <c r="T111" s="150"/>
      <c r="U111" s="150"/>
      <c r="V111" s="150"/>
      <c r="W111" s="150"/>
      <c r="X111" s="150"/>
      <c r="Y111" s="150"/>
      <c r="Z111" s="150"/>
      <c r="AA111" s="150"/>
      <c r="AB111" s="150"/>
      <c r="AC111" s="150"/>
      <c r="AD111" s="150"/>
      <c r="AE111" s="150"/>
      <c r="AF111" s="150"/>
      <c r="AG111" s="150"/>
      <c r="AH111" s="150"/>
      <c r="AI111" s="150"/>
      <c r="AJ111" s="150"/>
      <c r="AK111" s="150"/>
      <c r="AL111" s="150"/>
      <c r="AM111" s="150"/>
      <c r="AN111" s="150"/>
      <c r="AO111" s="150"/>
      <c r="AP111" s="150"/>
      <c r="AQ111" s="150"/>
      <c r="AR111" s="150"/>
      <c r="AS111" s="150"/>
      <c r="AT111" s="150"/>
      <c r="AU111" s="150"/>
      <c r="AV111" s="150"/>
      <c r="AW111" s="150"/>
      <c r="AX111" s="150"/>
      <c r="AY111" s="151"/>
      <c r="AZ111" s="151"/>
      <c r="BA111" s="151"/>
      <c r="BB111" s="151"/>
      <c r="BC111" s="151"/>
      <c r="BD111" s="151"/>
      <c r="BE111" s="151"/>
      <c r="BF111" s="151"/>
      <c r="BG111" s="151"/>
      <c r="BH111" s="151"/>
      <c r="BI111" s="151"/>
      <c r="BJ111" s="151"/>
      <c r="BK111" s="151"/>
      <c r="BL111" s="151"/>
      <c r="BM111" s="151"/>
      <c r="BN111" s="151"/>
      <c r="BO111" s="151"/>
      <c r="BP111" s="151"/>
      <c r="BQ111" s="151"/>
      <c r="BR111" s="151"/>
    </row>
    <row r="112" s="75" customFormat="true" ht="30" hidden="false" customHeight="false" outlineLevel="0" collapsed="false">
      <c r="A112" s="141" t="s">
        <v>372</v>
      </c>
      <c r="B112" s="142" t="s">
        <v>1152</v>
      </c>
      <c r="C112" s="143" t="s">
        <v>1255</v>
      </c>
      <c r="D112" s="144" t="s">
        <v>1086</v>
      </c>
      <c r="E112" s="144" t="s">
        <v>1153</v>
      </c>
      <c r="F112" s="144" t="s">
        <v>1089</v>
      </c>
      <c r="G112" s="145" t="s">
        <v>1153</v>
      </c>
      <c r="H112" s="146" t="s">
        <v>1252</v>
      </c>
      <c r="I112" s="147" t="s">
        <v>82</v>
      </c>
      <c r="J112" s="148" t="s">
        <v>1252</v>
      </c>
      <c r="K112" s="149" t="s">
        <v>82</v>
      </c>
      <c r="L112" s="150" t="s">
        <v>1253</v>
      </c>
      <c r="M112" s="150"/>
      <c r="N112" s="150"/>
      <c r="O112" s="150"/>
      <c r="P112" s="150"/>
      <c r="Q112" s="150"/>
      <c r="R112" s="150"/>
      <c r="S112" s="150"/>
      <c r="T112" s="150"/>
      <c r="U112" s="150"/>
      <c r="V112" s="150"/>
      <c r="W112" s="150"/>
      <c r="X112" s="150"/>
      <c r="Y112" s="150"/>
      <c r="Z112" s="150"/>
      <c r="AA112" s="150"/>
      <c r="AB112" s="150"/>
      <c r="AC112" s="150"/>
      <c r="AD112" s="150"/>
      <c r="AE112" s="150"/>
      <c r="AF112" s="150"/>
      <c r="AG112" s="150"/>
      <c r="AH112" s="150"/>
      <c r="AI112" s="150"/>
      <c r="AJ112" s="150"/>
      <c r="AK112" s="150"/>
      <c r="AL112" s="150"/>
      <c r="AM112" s="150"/>
      <c r="AN112" s="150"/>
      <c r="AO112" s="150"/>
      <c r="AP112" s="150"/>
      <c r="AQ112" s="150"/>
      <c r="AR112" s="150"/>
      <c r="AS112" s="150"/>
      <c r="AT112" s="150"/>
      <c r="AU112" s="150"/>
      <c r="AV112" s="150"/>
      <c r="AW112" s="150"/>
      <c r="AX112" s="150"/>
      <c r="AY112" s="151"/>
      <c r="AZ112" s="151"/>
      <c r="BA112" s="151"/>
      <c r="BB112" s="151"/>
      <c r="BC112" s="151"/>
      <c r="BD112" s="151"/>
      <c r="BE112" s="151"/>
      <c r="BF112" s="151"/>
      <c r="BG112" s="151"/>
      <c r="BH112" s="151"/>
      <c r="BI112" s="151"/>
      <c r="BJ112" s="151"/>
      <c r="BK112" s="151"/>
      <c r="BL112" s="151"/>
      <c r="BM112" s="151"/>
      <c r="BN112" s="151"/>
      <c r="BO112" s="151"/>
      <c r="BP112" s="151"/>
      <c r="BQ112" s="151"/>
      <c r="BR112" s="151"/>
    </row>
    <row r="113" s="75" customFormat="true" ht="15" hidden="false" customHeight="false" outlineLevel="0" collapsed="false">
      <c r="A113" s="141" t="s">
        <v>374</v>
      </c>
      <c r="B113" s="142" t="s">
        <v>1152</v>
      </c>
      <c r="C113" s="143" t="s">
        <v>1256</v>
      </c>
      <c r="D113" s="144" t="s">
        <v>1086</v>
      </c>
      <c r="E113" s="144" t="s">
        <v>1153</v>
      </c>
      <c r="F113" s="144" t="s">
        <v>1089</v>
      </c>
      <c r="G113" s="145" t="s">
        <v>1153</v>
      </c>
      <c r="H113" s="146" t="s">
        <v>81</v>
      </c>
      <c r="I113" s="147" t="s">
        <v>82</v>
      </c>
      <c r="J113" s="148" t="s">
        <v>81</v>
      </c>
      <c r="K113" s="149" t="s">
        <v>82</v>
      </c>
      <c r="L113" s="150"/>
      <c r="M113" s="150"/>
      <c r="N113" s="150"/>
      <c r="O113" s="150"/>
      <c r="P113" s="150"/>
      <c r="Q113" s="150"/>
      <c r="R113" s="150"/>
      <c r="S113" s="150"/>
      <c r="T113" s="150"/>
      <c r="U113" s="150"/>
      <c r="V113" s="150"/>
      <c r="W113" s="150"/>
      <c r="X113" s="150"/>
      <c r="Y113" s="150"/>
      <c r="Z113" s="150"/>
      <c r="AA113" s="150"/>
      <c r="AB113" s="150"/>
      <c r="AC113" s="150"/>
      <c r="AD113" s="150"/>
      <c r="AE113" s="150"/>
      <c r="AF113" s="150"/>
      <c r="AG113" s="150"/>
      <c r="AH113" s="150"/>
      <c r="AI113" s="150"/>
      <c r="AJ113" s="150"/>
      <c r="AK113" s="150"/>
      <c r="AL113" s="150"/>
      <c r="AM113" s="150"/>
      <c r="AN113" s="150"/>
      <c r="AO113" s="150"/>
      <c r="AP113" s="150"/>
      <c r="AQ113" s="150"/>
      <c r="AR113" s="150"/>
      <c r="AS113" s="150"/>
      <c r="AT113" s="150"/>
      <c r="AU113" s="150"/>
      <c r="AV113" s="150"/>
      <c r="AW113" s="150"/>
      <c r="AX113" s="150"/>
      <c r="AY113" s="151"/>
      <c r="AZ113" s="151"/>
      <c r="BA113" s="151"/>
      <c r="BB113" s="151"/>
      <c r="BC113" s="151"/>
      <c r="BD113" s="151"/>
      <c r="BE113" s="151"/>
      <c r="BF113" s="151"/>
      <c r="BG113" s="151"/>
      <c r="BH113" s="151"/>
      <c r="BI113" s="151"/>
      <c r="BJ113" s="151"/>
      <c r="BK113" s="151"/>
      <c r="BL113" s="151"/>
      <c r="BM113" s="151"/>
      <c r="BN113" s="151"/>
      <c r="BO113" s="151"/>
      <c r="BP113" s="151"/>
      <c r="BQ113" s="151"/>
      <c r="BR113" s="151"/>
    </row>
    <row r="114" s="75" customFormat="true" ht="15" hidden="false" customHeight="false" outlineLevel="0" collapsed="false">
      <c r="A114" s="141" t="s">
        <v>376</v>
      </c>
      <c r="B114" s="142" t="s">
        <v>1152</v>
      </c>
      <c r="C114" s="143" t="s">
        <v>1257</v>
      </c>
      <c r="D114" s="144" t="s">
        <v>1086</v>
      </c>
      <c r="E114" s="144" t="s">
        <v>1153</v>
      </c>
      <c r="F114" s="144" t="s">
        <v>1089</v>
      </c>
      <c r="G114" s="145" t="s">
        <v>1153</v>
      </c>
      <c r="H114" s="146" t="s">
        <v>81</v>
      </c>
      <c r="I114" s="147" t="s">
        <v>82</v>
      </c>
      <c r="J114" s="148" t="s">
        <v>81</v>
      </c>
      <c r="K114" s="149" t="s">
        <v>82</v>
      </c>
      <c r="L114" s="150"/>
      <c r="M114" s="150"/>
      <c r="N114" s="150"/>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0"/>
      <c r="AM114" s="150"/>
      <c r="AN114" s="150"/>
      <c r="AO114" s="150"/>
      <c r="AP114" s="150"/>
      <c r="AQ114" s="150"/>
      <c r="AR114" s="150"/>
      <c r="AS114" s="150"/>
      <c r="AT114" s="150"/>
      <c r="AU114" s="150"/>
      <c r="AV114" s="150"/>
      <c r="AW114" s="150"/>
      <c r="AX114" s="150"/>
      <c r="AY114" s="151"/>
      <c r="AZ114" s="151"/>
      <c r="BA114" s="151"/>
      <c r="BB114" s="151"/>
      <c r="BC114" s="151"/>
      <c r="BD114" s="151"/>
      <c r="BE114" s="151"/>
      <c r="BF114" s="151"/>
      <c r="BG114" s="151"/>
      <c r="BH114" s="151"/>
      <c r="BI114" s="151"/>
      <c r="BJ114" s="151"/>
      <c r="BK114" s="151"/>
      <c r="BL114" s="151"/>
      <c r="BM114" s="151"/>
      <c r="BN114" s="151"/>
      <c r="BO114" s="151"/>
      <c r="BP114" s="151"/>
      <c r="BQ114" s="151"/>
      <c r="BR114" s="151"/>
    </row>
    <row r="115" s="75" customFormat="true" ht="30" hidden="false" customHeight="false" outlineLevel="0" collapsed="false">
      <c r="A115" s="141" t="s">
        <v>378</v>
      </c>
      <c r="B115" s="142" t="s">
        <v>1152</v>
      </c>
      <c r="C115" s="143" t="s">
        <v>1258</v>
      </c>
      <c r="D115" s="144" t="s">
        <v>1086</v>
      </c>
      <c r="E115" s="144" t="s">
        <v>1153</v>
      </c>
      <c r="F115" s="144" t="s">
        <v>1089</v>
      </c>
      <c r="G115" s="145" t="s">
        <v>1153</v>
      </c>
      <c r="H115" s="146" t="s">
        <v>81</v>
      </c>
      <c r="I115" s="147" t="s">
        <v>82</v>
      </c>
      <c r="J115" s="148" t="s">
        <v>81</v>
      </c>
      <c r="K115" s="149" t="s">
        <v>82</v>
      </c>
      <c r="L115" s="150"/>
      <c r="M115" s="150"/>
      <c r="N115" s="150"/>
      <c r="O115" s="150"/>
      <c r="P115" s="150"/>
      <c r="Q115" s="150"/>
      <c r="R115" s="150"/>
      <c r="S115" s="150"/>
      <c r="T115" s="150"/>
      <c r="U115" s="150"/>
      <c r="V115" s="150"/>
      <c r="W115" s="150"/>
      <c r="X115" s="150"/>
      <c r="Y115" s="150"/>
      <c r="Z115" s="150"/>
      <c r="AA115" s="150"/>
      <c r="AB115" s="150"/>
      <c r="AC115" s="150"/>
      <c r="AD115" s="150"/>
      <c r="AE115" s="150"/>
      <c r="AF115" s="150"/>
      <c r="AG115" s="150"/>
      <c r="AH115" s="150"/>
      <c r="AI115" s="150"/>
      <c r="AJ115" s="150"/>
      <c r="AK115" s="150"/>
      <c r="AL115" s="150"/>
      <c r="AM115" s="150"/>
      <c r="AN115" s="150"/>
      <c r="AO115" s="150"/>
      <c r="AP115" s="150"/>
      <c r="AQ115" s="150"/>
      <c r="AR115" s="150"/>
      <c r="AS115" s="150"/>
      <c r="AT115" s="150"/>
      <c r="AU115" s="150"/>
      <c r="AV115" s="150"/>
      <c r="AW115" s="150"/>
      <c r="AX115" s="150"/>
      <c r="AY115" s="151"/>
      <c r="AZ115" s="151"/>
      <c r="BA115" s="151"/>
      <c r="BB115" s="151"/>
      <c r="BC115" s="151"/>
      <c r="BD115" s="151"/>
      <c r="BE115" s="151"/>
      <c r="BF115" s="151"/>
      <c r="BG115" s="151"/>
      <c r="BH115" s="151"/>
      <c r="BI115" s="151"/>
      <c r="BJ115" s="151"/>
      <c r="BK115" s="151"/>
      <c r="BL115" s="151"/>
      <c r="BM115" s="151"/>
      <c r="BN115" s="151"/>
      <c r="BO115" s="151"/>
      <c r="BP115" s="151"/>
      <c r="BQ115" s="151"/>
      <c r="BR115" s="151"/>
    </row>
    <row r="116" s="75" customFormat="true" ht="30" hidden="false" customHeight="false" outlineLevel="0" collapsed="false">
      <c r="A116" s="141" t="s">
        <v>380</v>
      </c>
      <c r="B116" s="142" t="s">
        <v>1152</v>
      </c>
      <c r="C116" s="143" t="s">
        <v>1259</v>
      </c>
      <c r="D116" s="144" t="s">
        <v>1086</v>
      </c>
      <c r="E116" s="144" t="s">
        <v>1153</v>
      </c>
      <c r="F116" s="144" t="s">
        <v>1089</v>
      </c>
      <c r="G116" s="145" t="s">
        <v>1153</v>
      </c>
      <c r="H116" s="146" t="s">
        <v>1252</v>
      </c>
      <c r="I116" s="147" t="s">
        <v>82</v>
      </c>
      <c r="J116" s="148" t="s">
        <v>1252</v>
      </c>
      <c r="K116" s="149" t="s">
        <v>82</v>
      </c>
      <c r="L116" s="150" t="s">
        <v>1253</v>
      </c>
      <c r="M116" s="150"/>
      <c r="N116" s="150"/>
      <c r="O116" s="150"/>
      <c r="P116" s="150"/>
      <c r="Q116" s="150"/>
      <c r="R116" s="150"/>
      <c r="S116" s="150"/>
      <c r="T116" s="150"/>
      <c r="U116" s="150"/>
      <c r="V116" s="150"/>
      <c r="W116" s="150"/>
      <c r="X116" s="150"/>
      <c r="Y116" s="150"/>
      <c r="Z116" s="150"/>
      <c r="AA116" s="150"/>
      <c r="AB116" s="150"/>
      <c r="AC116" s="150"/>
      <c r="AD116" s="150"/>
      <c r="AE116" s="150"/>
      <c r="AF116" s="150"/>
      <c r="AG116" s="150"/>
      <c r="AH116" s="150"/>
      <c r="AI116" s="150"/>
      <c r="AJ116" s="150"/>
      <c r="AK116" s="150"/>
      <c r="AL116" s="150"/>
      <c r="AM116" s="150"/>
      <c r="AN116" s="150"/>
      <c r="AO116" s="150"/>
      <c r="AP116" s="150"/>
      <c r="AQ116" s="150"/>
      <c r="AR116" s="150"/>
      <c r="AS116" s="150"/>
      <c r="AT116" s="150"/>
      <c r="AU116" s="150"/>
      <c r="AV116" s="150"/>
      <c r="AW116" s="150"/>
      <c r="AX116" s="150"/>
      <c r="AY116" s="151"/>
      <c r="AZ116" s="151"/>
      <c r="BA116" s="151"/>
      <c r="BB116" s="151"/>
      <c r="BC116" s="151"/>
      <c r="BD116" s="151"/>
      <c r="BE116" s="151"/>
      <c r="BF116" s="151"/>
      <c r="BG116" s="151"/>
      <c r="BH116" s="151"/>
      <c r="BI116" s="151"/>
      <c r="BJ116" s="151"/>
      <c r="BK116" s="151"/>
      <c r="BL116" s="151"/>
      <c r="BM116" s="151"/>
      <c r="BN116" s="151"/>
      <c r="BO116" s="151"/>
      <c r="BP116" s="151"/>
      <c r="BQ116" s="151"/>
      <c r="BR116" s="151"/>
    </row>
    <row r="117" s="75" customFormat="true" ht="15" hidden="false" customHeight="false" outlineLevel="0" collapsed="false">
      <c r="A117" s="141" t="s">
        <v>382</v>
      </c>
      <c r="B117" s="142" t="s">
        <v>1152</v>
      </c>
      <c r="C117" s="143" t="s">
        <v>1260</v>
      </c>
      <c r="D117" s="144" t="s">
        <v>1086</v>
      </c>
      <c r="E117" s="144" t="s">
        <v>1153</v>
      </c>
      <c r="F117" s="144" t="s">
        <v>1089</v>
      </c>
      <c r="G117" s="145" t="s">
        <v>1153</v>
      </c>
      <c r="H117" s="146" t="s">
        <v>81</v>
      </c>
      <c r="I117" s="147" t="s">
        <v>82</v>
      </c>
      <c r="J117" s="148" t="s">
        <v>81</v>
      </c>
      <c r="K117" s="149" t="s">
        <v>82</v>
      </c>
      <c r="L117" s="150"/>
      <c r="M117" s="150"/>
      <c r="N117" s="150"/>
      <c r="O117" s="150"/>
      <c r="P117" s="150"/>
      <c r="Q117" s="150"/>
      <c r="R117" s="150"/>
      <c r="S117" s="150"/>
      <c r="T117" s="150"/>
      <c r="U117" s="150"/>
      <c r="V117" s="150"/>
      <c r="W117" s="150"/>
      <c r="X117" s="150"/>
      <c r="Y117" s="150"/>
      <c r="Z117" s="150"/>
      <c r="AA117" s="150"/>
      <c r="AB117" s="150"/>
      <c r="AC117" s="150"/>
      <c r="AD117" s="150"/>
      <c r="AE117" s="150"/>
      <c r="AF117" s="150"/>
      <c r="AG117" s="150"/>
      <c r="AH117" s="150"/>
      <c r="AI117" s="150"/>
      <c r="AJ117" s="150"/>
      <c r="AK117" s="150"/>
      <c r="AL117" s="150"/>
      <c r="AM117" s="150"/>
      <c r="AN117" s="150"/>
      <c r="AO117" s="150"/>
      <c r="AP117" s="150"/>
      <c r="AQ117" s="150"/>
      <c r="AR117" s="150"/>
      <c r="AS117" s="150"/>
      <c r="AT117" s="150"/>
      <c r="AU117" s="150"/>
      <c r="AV117" s="150"/>
      <c r="AW117" s="150"/>
      <c r="AX117" s="150"/>
      <c r="AY117" s="151"/>
      <c r="AZ117" s="151"/>
      <c r="BA117" s="151"/>
      <c r="BB117" s="151"/>
      <c r="BC117" s="151"/>
      <c r="BD117" s="151"/>
      <c r="BE117" s="151"/>
      <c r="BF117" s="151"/>
      <c r="BG117" s="151"/>
      <c r="BH117" s="151"/>
      <c r="BI117" s="151"/>
      <c r="BJ117" s="151"/>
      <c r="BK117" s="151"/>
      <c r="BL117" s="151"/>
      <c r="BM117" s="151"/>
      <c r="BN117" s="151"/>
      <c r="BO117" s="151"/>
      <c r="BP117" s="151"/>
      <c r="BQ117" s="151"/>
      <c r="BR117" s="151"/>
    </row>
    <row r="118" s="75" customFormat="true" ht="30" hidden="false" customHeight="false" outlineLevel="0" collapsed="false">
      <c r="A118" s="141" t="s">
        <v>384</v>
      </c>
      <c r="B118" s="142" t="s">
        <v>1152</v>
      </c>
      <c r="C118" s="143" t="s">
        <v>1261</v>
      </c>
      <c r="D118" s="144" t="s">
        <v>1086</v>
      </c>
      <c r="E118" s="144" t="s">
        <v>1153</v>
      </c>
      <c r="F118" s="144" t="s">
        <v>1089</v>
      </c>
      <c r="G118" s="145" t="s">
        <v>1153</v>
      </c>
      <c r="H118" s="146" t="s">
        <v>1252</v>
      </c>
      <c r="I118" s="147" t="s">
        <v>82</v>
      </c>
      <c r="J118" s="148" t="s">
        <v>1252</v>
      </c>
      <c r="K118" s="149" t="s">
        <v>82</v>
      </c>
      <c r="L118" s="150" t="s">
        <v>1253</v>
      </c>
      <c r="M118" s="150"/>
      <c r="N118" s="150"/>
      <c r="O118" s="150"/>
      <c r="P118" s="150"/>
      <c r="Q118" s="150"/>
      <c r="R118" s="150"/>
      <c r="S118" s="150"/>
      <c r="T118" s="150"/>
      <c r="U118" s="150"/>
      <c r="V118" s="150"/>
      <c r="W118" s="150"/>
      <c r="X118" s="150"/>
      <c r="Y118" s="150"/>
      <c r="Z118" s="150"/>
      <c r="AA118" s="150"/>
      <c r="AB118" s="150"/>
      <c r="AC118" s="150"/>
      <c r="AD118" s="150"/>
      <c r="AE118" s="150"/>
      <c r="AF118" s="150"/>
      <c r="AG118" s="150"/>
      <c r="AH118" s="150"/>
      <c r="AI118" s="150"/>
      <c r="AJ118" s="150"/>
      <c r="AK118" s="150"/>
      <c r="AL118" s="150"/>
      <c r="AM118" s="150"/>
      <c r="AN118" s="150"/>
      <c r="AO118" s="150"/>
      <c r="AP118" s="150"/>
      <c r="AQ118" s="150"/>
      <c r="AR118" s="150"/>
      <c r="AS118" s="150"/>
      <c r="AT118" s="150"/>
      <c r="AU118" s="150"/>
      <c r="AV118" s="150"/>
      <c r="AW118" s="150"/>
      <c r="AX118" s="150"/>
      <c r="AY118" s="151"/>
      <c r="AZ118" s="151"/>
      <c r="BA118" s="151"/>
      <c r="BB118" s="151"/>
      <c r="BC118" s="151"/>
      <c r="BD118" s="151"/>
      <c r="BE118" s="151"/>
      <c r="BF118" s="151"/>
      <c r="BG118" s="151"/>
      <c r="BH118" s="151"/>
      <c r="BI118" s="151"/>
      <c r="BJ118" s="151"/>
      <c r="BK118" s="151"/>
      <c r="BL118" s="151"/>
      <c r="BM118" s="151"/>
      <c r="BN118" s="151"/>
      <c r="BO118" s="151"/>
      <c r="BP118" s="151"/>
      <c r="BQ118" s="151"/>
      <c r="BR118" s="151"/>
    </row>
    <row r="119" s="75" customFormat="true" ht="30" hidden="false" customHeight="false" outlineLevel="0" collapsed="false">
      <c r="A119" s="141" t="s">
        <v>386</v>
      </c>
      <c r="B119" s="142" t="s">
        <v>1152</v>
      </c>
      <c r="C119" s="143" t="s">
        <v>1262</v>
      </c>
      <c r="D119" s="144" t="s">
        <v>1086</v>
      </c>
      <c r="E119" s="144" t="s">
        <v>1153</v>
      </c>
      <c r="F119" s="144" t="s">
        <v>1089</v>
      </c>
      <c r="G119" s="145" t="s">
        <v>1153</v>
      </c>
      <c r="H119" s="146" t="s">
        <v>81</v>
      </c>
      <c r="I119" s="147" t="s">
        <v>82</v>
      </c>
      <c r="J119" s="148" t="s">
        <v>81</v>
      </c>
      <c r="K119" s="149" t="s">
        <v>82</v>
      </c>
      <c r="L119" s="150"/>
      <c r="M119" s="150"/>
      <c r="N119" s="150"/>
      <c r="O119" s="150"/>
      <c r="P119" s="150"/>
      <c r="Q119" s="150"/>
      <c r="R119" s="150"/>
      <c r="S119" s="150"/>
      <c r="T119" s="150"/>
      <c r="U119" s="150"/>
      <c r="V119" s="150"/>
      <c r="W119" s="150"/>
      <c r="X119" s="150"/>
      <c r="Y119" s="150"/>
      <c r="Z119" s="150"/>
      <c r="AA119" s="150"/>
      <c r="AB119" s="150"/>
      <c r="AC119" s="150"/>
      <c r="AD119" s="150"/>
      <c r="AE119" s="150"/>
      <c r="AF119" s="150"/>
      <c r="AG119" s="150"/>
      <c r="AH119" s="150"/>
      <c r="AI119" s="150"/>
      <c r="AJ119" s="150"/>
      <c r="AK119" s="150"/>
      <c r="AL119" s="150"/>
      <c r="AM119" s="150"/>
      <c r="AN119" s="150"/>
      <c r="AO119" s="150"/>
      <c r="AP119" s="150"/>
      <c r="AQ119" s="150"/>
      <c r="AR119" s="150"/>
      <c r="AS119" s="150"/>
      <c r="AT119" s="150"/>
      <c r="AU119" s="150"/>
      <c r="AV119" s="150"/>
      <c r="AW119" s="150"/>
      <c r="AX119" s="150"/>
      <c r="AY119" s="151"/>
      <c r="AZ119" s="151"/>
      <c r="BA119" s="151"/>
      <c r="BB119" s="151"/>
      <c r="BC119" s="151"/>
      <c r="BD119" s="151"/>
      <c r="BE119" s="151"/>
      <c r="BF119" s="151"/>
      <c r="BG119" s="151"/>
      <c r="BH119" s="151"/>
      <c r="BI119" s="151"/>
      <c r="BJ119" s="151"/>
      <c r="BK119" s="151"/>
      <c r="BL119" s="151"/>
      <c r="BM119" s="151"/>
      <c r="BN119" s="151"/>
      <c r="BO119" s="151"/>
      <c r="BP119" s="151"/>
      <c r="BQ119" s="151"/>
      <c r="BR119" s="151"/>
    </row>
    <row r="120" s="75" customFormat="true" ht="30" hidden="false" customHeight="false" outlineLevel="0" collapsed="false">
      <c r="A120" s="141" t="s">
        <v>388</v>
      </c>
      <c r="B120" s="142" t="s">
        <v>1152</v>
      </c>
      <c r="C120" s="143" t="s">
        <v>1263</v>
      </c>
      <c r="D120" s="144" t="s">
        <v>1086</v>
      </c>
      <c r="E120" s="144" t="s">
        <v>1153</v>
      </c>
      <c r="F120" s="144" t="s">
        <v>1089</v>
      </c>
      <c r="G120" s="145" t="s">
        <v>1153</v>
      </c>
      <c r="H120" s="146" t="s">
        <v>1252</v>
      </c>
      <c r="I120" s="147" t="s">
        <v>82</v>
      </c>
      <c r="J120" s="148" t="s">
        <v>1252</v>
      </c>
      <c r="K120" s="149" t="s">
        <v>82</v>
      </c>
      <c r="L120" s="150" t="s">
        <v>1253</v>
      </c>
      <c r="M120" s="150"/>
      <c r="N120" s="150"/>
      <c r="O120" s="150"/>
      <c r="P120" s="150"/>
      <c r="Q120" s="150"/>
      <c r="R120" s="150"/>
      <c r="S120" s="150"/>
      <c r="T120" s="150"/>
      <c r="U120" s="150"/>
      <c r="V120" s="150"/>
      <c r="W120" s="150"/>
      <c r="X120" s="150"/>
      <c r="Y120" s="150"/>
      <c r="Z120" s="150"/>
      <c r="AA120" s="150"/>
      <c r="AB120" s="150"/>
      <c r="AC120" s="150"/>
      <c r="AD120" s="150"/>
      <c r="AE120" s="150"/>
      <c r="AF120" s="150"/>
      <c r="AG120" s="150"/>
      <c r="AH120" s="150"/>
      <c r="AI120" s="150"/>
      <c r="AJ120" s="150"/>
      <c r="AK120" s="150"/>
      <c r="AL120" s="150"/>
      <c r="AM120" s="150"/>
      <c r="AN120" s="150"/>
      <c r="AO120" s="150"/>
      <c r="AP120" s="150"/>
      <c r="AQ120" s="150"/>
      <c r="AR120" s="150"/>
      <c r="AS120" s="150"/>
      <c r="AT120" s="150"/>
      <c r="AU120" s="150"/>
      <c r="AV120" s="150"/>
      <c r="AW120" s="150"/>
      <c r="AX120" s="150"/>
      <c r="AY120" s="151"/>
      <c r="AZ120" s="151"/>
      <c r="BA120" s="151"/>
      <c r="BB120" s="151"/>
      <c r="BC120" s="151"/>
      <c r="BD120" s="151"/>
      <c r="BE120" s="151"/>
      <c r="BF120" s="151"/>
      <c r="BG120" s="151"/>
      <c r="BH120" s="151"/>
      <c r="BI120" s="151"/>
      <c r="BJ120" s="151"/>
      <c r="BK120" s="151"/>
      <c r="BL120" s="151"/>
      <c r="BM120" s="151"/>
      <c r="BN120" s="151"/>
      <c r="BO120" s="151"/>
      <c r="BP120" s="151"/>
      <c r="BQ120" s="151"/>
      <c r="BR120" s="151"/>
    </row>
    <row r="121" s="75" customFormat="true" ht="15" hidden="false" customHeight="false" outlineLevel="0" collapsed="false">
      <c r="A121" s="141" t="s">
        <v>390</v>
      </c>
      <c r="B121" s="142" t="s">
        <v>1152</v>
      </c>
      <c r="C121" s="143" t="s">
        <v>1264</v>
      </c>
      <c r="D121" s="144" t="s">
        <v>1086</v>
      </c>
      <c r="E121" s="144" t="s">
        <v>1153</v>
      </c>
      <c r="F121" s="144" t="s">
        <v>1089</v>
      </c>
      <c r="G121" s="145" t="s">
        <v>1153</v>
      </c>
      <c r="H121" s="146" t="s">
        <v>81</v>
      </c>
      <c r="I121" s="147" t="s">
        <v>82</v>
      </c>
      <c r="J121" s="148" t="s">
        <v>81</v>
      </c>
      <c r="K121" s="149" t="s">
        <v>82</v>
      </c>
      <c r="L121" s="150"/>
      <c r="M121" s="150"/>
      <c r="N121" s="150"/>
      <c r="O121" s="150"/>
      <c r="P121" s="150"/>
      <c r="Q121" s="150"/>
      <c r="R121" s="150"/>
      <c r="S121" s="150"/>
      <c r="T121" s="150"/>
      <c r="U121" s="150"/>
      <c r="V121" s="150"/>
      <c r="W121" s="150"/>
      <c r="X121" s="150"/>
      <c r="Y121" s="150"/>
      <c r="Z121" s="150"/>
      <c r="AA121" s="150"/>
      <c r="AB121" s="150"/>
      <c r="AC121" s="150"/>
      <c r="AD121" s="150"/>
      <c r="AE121" s="150"/>
      <c r="AF121" s="150"/>
      <c r="AG121" s="150"/>
      <c r="AH121" s="150"/>
      <c r="AI121" s="150"/>
      <c r="AJ121" s="150"/>
      <c r="AK121" s="150"/>
      <c r="AL121" s="150"/>
      <c r="AM121" s="150"/>
      <c r="AN121" s="150"/>
      <c r="AO121" s="150"/>
      <c r="AP121" s="150"/>
      <c r="AQ121" s="150"/>
      <c r="AR121" s="150"/>
      <c r="AS121" s="150"/>
      <c r="AT121" s="150"/>
      <c r="AU121" s="150"/>
      <c r="AV121" s="150"/>
      <c r="AW121" s="150"/>
      <c r="AX121" s="150"/>
      <c r="AY121" s="151"/>
      <c r="AZ121" s="151"/>
      <c r="BA121" s="151"/>
      <c r="BB121" s="151"/>
      <c r="BC121" s="151"/>
      <c r="BD121" s="151"/>
      <c r="BE121" s="151"/>
      <c r="BF121" s="151"/>
      <c r="BG121" s="151"/>
      <c r="BH121" s="151"/>
      <c r="BI121" s="151"/>
      <c r="BJ121" s="151"/>
      <c r="BK121" s="151"/>
      <c r="BL121" s="151"/>
      <c r="BM121" s="151"/>
      <c r="BN121" s="151"/>
      <c r="BO121" s="151"/>
      <c r="BP121" s="151"/>
      <c r="BQ121" s="151"/>
      <c r="BR121" s="151"/>
    </row>
    <row r="122" s="75" customFormat="true" ht="30" hidden="false" customHeight="false" outlineLevel="0" collapsed="false">
      <c r="A122" s="141" t="s">
        <v>392</v>
      </c>
      <c r="B122" s="142" t="s">
        <v>1152</v>
      </c>
      <c r="C122" s="143" t="s">
        <v>1265</v>
      </c>
      <c r="D122" s="144" t="s">
        <v>1086</v>
      </c>
      <c r="E122" s="144" t="s">
        <v>1153</v>
      </c>
      <c r="F122" s="144" t="s">
        <v>1089</v>
      </c>
      <c r="G122" s="145" t="s">
        <v>1153</v>
      </c>
      <c r="H122" s="146" t="s">
        <v>1252</v>
      </c>
      <c r="I122" s="147" t="s">
        <v>82</v>
      </c>
      <c r="J122" s="148" t="s">
        <v>1252</v>
      </c>
      <c r="K122" s="149" t="s">
        <v>82</v>
      </c>
      <c r="L122" s="150" t="s">
        <v>1253</v>
      </c>
      <c r="M122" s="150"/>
      <c r="N122" s="150"/>
      <c r="O122" s="150"/>
      <c r="P122" s="150"/>
      <c r="Q122" s="150"/>
      <c r="R122" s="150"/>
      <c r="S122" s="150"/>
      <c r="T122" s="150"/>
      <c r="U122" s="150"/>
      <c r="V122" s="150"/>
      <c r="W122" s="150"/>
      <c r="X122" s="150"/>
      <c r="Y122" s="150"/>
      <c r="Z122" s="150"/>
      <c r="AA122" s="150"/>
      <c r="AB122" s="150"/>
      <c r="AC122" s="150"/>
      <c r="AD122" s="150"/>
      <c r="AE122" s="150"/>
      <c r="AF122" s="150"/>
      <c r="AG122" s="150"/>
      <c r="AH122" s="150"/>
      <c r="AI122" s="150"/>
      <c r="AJ122" s="150"/>
      <c r="AK122" s="150"/>
      <c r="AL122" s="150"/>
      <c r="AM122" s="150"/>
      <c r="AN122" s="150"/>
      <c r="AO122" s="150"/>
      <c r="AP122" s="150"/>
      <c r="AQ122" s="150"/>
      <c r="AR122" s="150"/>
      <c r="AS122" s="150"/>
      <c r="AT122" s="150"/>
      <c r="AU122" s="150"/>
      <c r="AV122" s="150"/>
      <c r="AW122" s="150"/>
      <c r="AX122" s="150"/>
      <c r="AY122" s="151"/>
      <c r="AZ122" s="151"/>
      <c r="BA122" s="151"/>
      <c r="BB122" s="151"/>
      <c r="BC122" s="151"/>
      <c r="BD122" s="151"/>
      <c r="BE122" s="151"/>
      <c r="BF122" s="151"/>
      <c r="BG122" s="151"/>
      <c r="BH122" s="151"/>
      <c r="BI122" s="151"/>
      <c r="BJ122" s="151"/>
      <c r="BK122" s="151"/>
      <c r="BL122" s="151"/>
      <c r="BM122" s="151"/>
      <c r="BN122" s="151"/>
      <c r="BO122" s="151"/>
      <c r="BP122" s="151"/>
      <c r="BQ122" s="151"/>
      <c r="BR122" s="151"/>
    </row>
    <row r="123" s="75" customFormat="true" ht="30" hidden="false" customHeight="false" outlineLevel="0" collapsed="false">
      <c r="A123" s="141" t="s">
        <v>394</v>
      </c>
      <c r="B123" s="142" t="s">
        <v>1152</v>
      </c>
      <c r="C123" s="143" t="s">
        <v>1266</v>
      </c>
      <c r="D123" s="144" t="s">
        <v>1086</v>
      </c>
      <c r="E123" s="144" t="s">
        <v>1153</v>
      </c>
      <c r="F123" s="144" t="s">
        <v>1089</v>
      </c>
      <c r="G123" s="145" t="s">
        <v>1153</v>
      </c>
      <c r="H123" s="146" t="s">
        <v>81</v>
      </c>
      <c r="I123" s="147" t="s">
        <v>82</v>
      </c>
      <c r="J123" s="148" t="s">
        <v>81</v>
      </c>
      <c r="K123" s="149" t="s">
        <v>82</v>
      </c>
      <c r="L123" s="150"/>
      <c r="M123" s="150"/>
      <c r="N123" s="150"/>
      <c r="O123" s="150"/>
      <c r="P123" s="150"/>
      <c r="Q123" s="150"/>
      <c r="R123" s="150"/>
      <c r="S123" s="150"/>
      <c r="T123" s="150"/>
      <c r="U123" s="150"/>
      <c r="V123" s="150"/>
      <c r="W123" s="150"/>
      <c r="X123" s="150"/>
      <c r="Y123" s="150"/>
      <c r="Z123" s="150"/>
      <c r="AA123" s="150"/>
      <c r="AB123" s="150"/>
      <c r="AC123" s="150"/>
      <c r="AD123" s="150"/>
      <c r="AE123" s="150"/>
      <c r="AF123" s="150"/>
      <c r="AG123" s="150"/>
      <c r="AH123" s="150"/>
      <c r="AI123" s="150"/>
      <c r="AJ123" s="150"/>
      <c r="AK123" s="150"/>
      <c r="AL123" s="150"/>
      <c r="AM123" s="150"/>
      <c r="AN123" s="150"/>
      <c r="AO123" s="150"/>
      <c r="AP123" s="150"/>
      <c r="AQ123" s="150"/>
      <c r="AR123" s="150"/>
      <c r="AS123" s="150"/>
      <c r="AT123" s="150"/>
      <c r="AU123" s="150"/>
      <c r="AV123" s="150"/>
      <c r="AW123" s="150"/>
      <c r="AX123" s="150"/>
      <c r="AY123" s="151"/>
      <c r="AZ123" s="151"/>
      <c r="BA123" s="151"/>
      <c r="BB123" s="151"/>
      <c r="BC123" s="151"/>
      <c r="BD123" s="151"/>
      <c r="BE123" s="151"/>
      <c r="BF123" s="151"/>
      <c r="BG123" s="151"/>
      <c r="BH123" s="151"/>
      <c r="BI123" s="151"/>
      <c r="BJ123" s="151"/>
      <c r="BK123" s="151"/>
      <c r="BL123" s="151"/>
      <c r="BM123" s="151"/>
      <c r="BN123" s="151"/>
      <c r="BO123" s="151"/>
      <c r="BP123" s="151"/>
      <c r="BQ123" s="151"/>
      <c r="BR123" s="151"/>
    </row>
    <row r="124" s="75" customFormat="true" ht="30" hidden="false" customHeight="false" outlineLevel="0" collapsed="false">
      <c r="A124" s="141" t="s">
        <v>396</v>
      </c>
      <c r="B124" s="142" t="s">
        <v>1152</v>
      </c>
      <c r="C124" s="143" t="s">
        <v>1267</v>
      </c>
      <c r="D124" s="144" t="s">
        <v>1086</v>
      </c>
      <c r="E124" s="144" t="s">
        <v>1153</v>
      </c>
      <c r="F124" s="144" t="s">
        <v>1089</v>
      </c>
      <c r="G124" s="145" t="s">
        <v>1153</v>
      </c>
      <c r="H124" s="146" t="s">
        <v>1252</v>
      </c>
      <c r="I124" s="147" t="s">
        <v>82</v>
      </c>
      <c r="J124" s="148" t="s">
        <v>1252</v>
      </c>
      <c r="K124" s="149" t="s">
        <v>82</v>
      </c>
      <c r="L124" s="150" t="s">
        <v>1253</v>
      </c>
      <c r="M124" s="150"/>
      <c r="N124" s="150"/>
      <c r="O124" s="150"/>
      <c r="P124" s="150"/>
      <c r="Q124" s="150"/>
      <c r="R124" s="150"/>
      <c r="S124" s="150"/>
      <c r="T124" s="150"/>
      <c r="U124" s="150"/>
      <c r="V124" s="150"/>
      <c r="W124" s="150"/>
      <c r="X124" s="150"/>
      <c r="Y124" s="150"/>
      <c r="Z124" s="150"/>
      <c r="AA124" s="150"/>
      <c r="AB124" s="150"/>
      <c r="AC124" s="150"/>
      <c r="AD124" s="150"/>
      <c r="AE124" s="150"/>
      <c r="AF124" s="150"/>
      <c r="AG124" s="150"/>
      <c r="AH124" s="150"/>
      <c r="AI124" s="150"/>
      <c r="AJ124" s="150"/>
      <c r="AK124" s="150"/>
      <c r="AL124" s="150"/>
      <c r="AM124" s="150"/>
      <c r="AN124" s="150"/>
      <c r="AO124" s="150"/>
      <c r="AP124" s="150"/>
      <c r="AQ124" s="150"/>
      <c r="AR124" s="150"/>
      <c r="AS124" s="150"/>
      <c r="AT124" s="150"/>
      <c r="AU124" s="150"/>
      <c r="AV124" s="150"/>
      <c r="AW124" s="150"/>
      <c r="AX124" s="150"/>
      <c r="AY124" s="151"/>
      <c r="AZ124" s="151"/>
      <c r="BA124" s="151"/>
      <c r="BB124" s="151"/>
      <c r="BC124" s="151"/>
      <c r="BD124" s="151"/>
      <c r="BE124" s="151"/>
      <c r="BF124" s="151"/>
      <c r="BG124" s="151"/>
      <c r="BH124" s="151"/>
      <c r="BI124" s="151"/>
      <c r="BJ124" s="151"/>
      <c r="BK124" s="151"/>
      <c r="BL124" s="151"/>
      <c r="BM124" s="151"/>
      <c r="BN124" s="151"/>
      <c r="BO124" s="151"/>
      <c r="BP124" s="151"/>
      <c r="BQ124" s="151"/>
      <c r="BR124" s="151"/>
    </row>
    <row r="125" s="75" customFormat="true" ht="30" hidden="false" customHeight="false" outlineLevel="0" collapsed="false">
      <c r="A125" s="141" t="s">
        <v>398</v>
      </c>
      <c r="B125" s="142" t="s">
        <v>1152</v>
      </c>
      <c r="C125" s="143" t="s">
        <v>1268</v>
      </c>
      <c r="D125" s="144" t="s">
        <v>1086</v>
      </c>
      <c r="E125" s="144" t="s">
        <v>1153</v>
      </c>
      <c r="F125" s="144" t="s">
        <v>1089</v>
      </c>
      <c r="G125" s="145" t="s">
        <v>1153</v>
      </c>
      <c r="H125" s="146" t="s">
        <v>81</v>
      </c>
      <c r="I125" s="147" t="s">
        <v>82</v>
      </c>
      <c r="J125" s="148" t="s">
        <v>81</v>
      </c>
      <c r="K125" s="149" t="s">
        <v>82</v>
      </c>
      <c r="L125" s="150"/>
      <c r="M125" s="150"/>
      <c r="N125" s="150"/>
      <c r="O125" s="150"/>
      <c r="P125" s="150"/>
      <c r="Q125" s="150"/>
      <c r="R125" s="150"/>
      <c r="S125" s="150"/>
      <c r="T125" s="150"/>
      <c r="U125" s="150"/>
      <c r="V125" s="150"/>
      <c r="W125" s="150"/>
      <c r="X125" s="150"/>
      <c r="Y125" s="150"/>
      <c r="Z125" s="150"/>
      <c r="AA125" s="150"/>
      <c r="AB125" s="150"/>
      <c r="AC125" s="150"/>
      <c r="AD125" s="150"/>
      <c r="AE125" s="150"/>
      <c r="AF125" s="150"/>
      <c r="AG125" s="150"/>
      <c r="AH125" s="150"/>
      <c r="AI125" s="150"/>
      <c r="AJ125" s="150"/>
      <c r="AK125" s="150"/>
      <c r="AL125" s="150"/>
      <c r="AM125" s="150"/>
      <c r="AN125" s="150"/>
      <c r="AO125" s="150"/>
      <c r="AP125" s="150"/>
      <c r="AQ125" s="150"/>
      <c r="AR125" s="150"/>
      <c r="AS125" s="150"/>
      <c r="AT125" s="150"/>
      <c r="AU125" s="150"/>
      <c r="AV125" s="150"/>
      <c r="AW125" s="150"/>
      <c r="AX125" s="150"/>
      <c r="AY125" s="151"/>
      <c r="AZ125" s="151"/>
      <c r="BA125" s="151"/>
      <c r="BB125" s="151"/>
      <c r="BC125" s="151"/>
      <c r="BD125" s="151"/>
      <c r="BE125" s="151"/>
      <c r="BF125" s="151"/>
      <c r="BG125" s="151"/>
      <c r="BH125" s="151"/>
      <c r="BI125" s="151"/>
      <c r="BJ125" s="151"/>
      <c r="BK125" s="151"/>
      <c r="BL125" s="151"/>
      <c r="BM125" s="151"/>
      <c r="BN125" s="151"/>
      <c r="BO125" s="151"/>
      <c r="BP125" s="151"/>
      <c r="BQ125" s="151"/>
      <c r="BR125" s="151"/>
    </row>
    <row r="126" s="75" customFormat="true" ht="30" hidden="false" customHeight="false" outlineLevel="0" collapsed="false">
      <c r="A126" s="141" t="s">
        <v>400</v>
      </c>
      <c r="B126" s="142" t="s">
        <v>1152</v>
      </c>
      <c r="C126" s="143" t="s">
        <v>1269</v>
      </c>
      <c r="D126" s="144" t="s">
        <v>1086</v>
      </c>
      <c r="E126" s="144" t="s">
        <v>1153</v>
      </c>
      <c r="F126" s="144" t="s">
        <v>1089</v>
      </c>
      <c r="G126" s="145" t="s">
        <v>1153</v>
      </c>
      <c r="H126" s="146" t="s">
        <v>1252</v>
      </c>
      <c r="I126" s="147" t="s">
        <v>82</v>
      </c>
      <c r="J126" s="148" t="s">
        <v>1252</v>
      </c>
      <c r="K126" s="149" t="s">
        <v>82</v>
      </c>
      <c r="L126" s="150" t="s">
        <v>1253</v>
      </c>
      <c r="M126" s="150"/>
      <c r="N126" s="150"/>
      <c r="O126" s="150"/>
      <c r="P126" s="150"/>
      <c r="Q126" s="150"/>
      <c r="R126" s="150"/>
      <c r="S126" s="150"/>
      <c r="T126" s="150"/>
      <c r="U126" s="150"/>
      <c r="V126" s="150"/>
      <c r="W126" s="150"/>
      <c r="X126" s="150"/>
      <c r="Y126" s="150"/>
      <c r="Z126" s="150"/>
      <c r="AA126" s="150"/>
      <c r="AB126" s="150"/>
      <c r="AC126" s="150"/>
      <c r="AD126" s="150"/>
      <c r="AE126" s="150"/>
      <c r="AF126" s="150"/>
      <c r="AG126" s="150"/>
      <c r="AH126" s="150"/>
      <c r="AI126" s="150"/>
      <c r="AJ126" s="150"/>
      <c r="AK126" s="150"/>
      <c r="AL126" s="150"/>
      <c r="AM126" s="150"/>
      <c r="AN126" s="150"/>
      <c r="AO126" s="150"/>
      <c r="AP126" s="150"/>
      <c r="AQ126" s="150"/>
      <c r="AR126" s="150"/>
      <c r="AS126" s="150"/>
      <c r="AT126" s="150"/>
      <c r="AU126" s="150"/>
      <c r="AV126" s="150"/>
      <c r="AW126" s="150"/>
      <c r="AX126" s="150"/>
      <c r="AY126" s="151"/>
      <c r="AZ126" s="151"/>
      <c r="BA126" s="151"/>
      <c r="BB126" s="151"/>
      <c r="BC126" s="151"/>
      <c r="BD126" s="151"/>
      <c r="BE126" s="151"/>
      <c r="BF126" s="151"/>
      <c r="BG126" s="151"/>
      <c r="BH126" s="151"/>
      <c r="BI126" s="151"/>
      <c r="BJ126" s="151"/>
      <c r="BK126" s="151"/>
      <c r="BL126" s="151"/>
      <c r="BM126" s="151"/>
      <c r="BN126" s="151"/>
      <c r="BO126" s="151"/>
      <c r="BP126" s="151"/>
      <c r="BQ126" s="151"/>
      <c r="BR126" s="151"/>
    </row>
    <row r="127" s="75" customFormat="true" ht="30" hidden="false" customHeight="false" outlineLevel="0" collapsed="false">
      <c r="A127" s="141" t="s">
        <v>402</v>
      </c>
      <c r="B127" s="142" t="s">
        <v>1152</v>
      </c>
      <c r="C127" s="143" t="s">
        <v>1270</v>
      </c>
      <c r="D127" s="144" t="s">
        <v>1086</v>
      </c>
      <c r="E127" s="144" t="s">
        <v>1153</v>
      </c>
      <c r="F127" s="144" t="s">
        <v>1089</v>
      </c>
      <c r="G127" s="145" t="s">
        <v>1153</v>
      </c>
      <c r="H127" s="146" t="s">
        <v>81</v>
      </c>
      <c r="I127" s="147" t="s">
        <v>82</v>
      </c>
      <c r="J127" s="148" t="s">
        <v>81</v>
      </c>
      <c r="K127" s="149" t="s">
        <v>82</v>
      </c>
      <c r="L127" s="150"/>
      <c r="M127" s="150"/>
      <c r="N127" s="150"/>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150"/>
      <c r="AN127" s="150"/>
      <c r="AO127" s="150"/>
      <c r="AP127" s="150"/>
      <c r="AQ127" s="150"/>
      <c r="AR127" s="150"/>
      <c r="AS127" s="150"/>
      <c r="AT127" s="150"/>
      <c r="AU127" s="150"/>
      <c r="AV127" s="150"/>
      <c r="AW127" s="150"/>
      <c r="AX127" s="150"/>
      <c r="AY127" s="151"/>
      <c r="AZ127" s="151"/>
      <c r="BA127" s="151"/>
      <c r="BB127" s="151"/>
      <c r="BC127" s="151"/>
      <c r="BD127" s="151"/>
      <c r="BE127" s="151"/>
      <c r="BF127" s="151"/>
      <c r="BG127" s="151"/>
      <c r="BH127" s="151"/>
      <c r="BI127" s="151"/>
      <c r="BJ127" s="151"/>
      <c r="BK127" s="151"/>
      <c r="BL127" s="151"/>
      <c r="BM127" s="151"/>
      <c r="BN127" s="151"/>
      <c r="BO127" s="151"/>
      <c r="BP127" s="151"/>
      <c r="BQ127" s="151"/>
      <c r="BR127" s="151"/>
    </row>
    <row r="128" s="75" customFormat="true" ht="30" hidden="false" customHeight="false" outlineLevel="0" collapsed="false">
      <c r="A128" s="141" t="s">
        <v>404</v>
      </c>
      <c r="B128" s="142" t="s">
        <v>1152</v>
      </c>
      <c r="C128" s="143" t="s">
        <v>1271</v>
      </c>
      <c r="D128" s="144" t="s">
        <v>1086</v>
      </c>
      <c r="E128" s="144" t="s">
        <v>1153</v>
      </c>
      <c r="F128" s="144" t="s">
        <v>1089</v>
      </c>
      <c r="G128" s="145" t="s">
        <v>1153</v>
      </c>
      <c r="H128" s="146" t="s">
        <v>1252</v>
      </c>
      <c r="I128" s="147" t="s">
        <v>82</v>
      </c>
      <c r="J128" s="148" t="s">
        <v>1252</v>
      </c>
      <c r="K128" s="149" t="s">
        <v>82</v>
      </c>
      <c r="L128" s="150" t="s">
        <v>1253</v>
      </c>
      <c r="M128" s="150"/>
      <c r="N128" s="150"/>
      <c r="O128" s="150"/>
      <c r="P128" s="150"/>
      <c r="Q128" s="150"/>
      <c r="R128" s="150"/>
      <c r="S128" s="150"/>
      <c r="T128" s="150"/>
      <c r="U128" s="150"/>
      <c r="V128" s="150"/>
      <c r="W128" s="150"/>
      <c r="X128" s="150"/>
      <c r="Y128" s="150"/>
      <c r="Z128" s="150"/>
      <c r="AA128" s="150"/>
      <c r="AB128" s="150"/>
      <c r="AC128" s="150"/>
      <c r="AD128" s="150"/>
      <c r="AE128" s="150"/>
      <c r="AF128" s="150"/>
      <c r="AG128" s="150"/>
      <c r="AH128" s="150"/>
      <c r="AI128" s="150"/>
      <c r="AJ128" s="150"/>
      <c r="AK128" s="150"/>
      <c r="AL128" s="150"/>
      <c r="AM128" s="150"/>
      <c r="AN128" s="150"/>
      <c r="AO128" s="150"/>
      <c r="AP128" s="150"/>
      <c r="AQ128" s="150"/>
      <c r="AR128" s="150"/>
      <c r="AS128" s="150"/>
      <c r="AT128" s="150"/>
      <c r="AU128" s="150"/>
      <c r="AV128" s="150"/>
      <c r="AW128" s="150"/>
      <c r="AX128" s="150"/>
      <c r="AY128" s="151"/>
      <c r="AZ128" s="151"/>
      <c r="BA128" s="151"/>
      <c r="BB128" s="151"/>
      <c r="BC128" s="151"/>
      <c r="BD128" s="151"/>
      <c r="BE128" s="151"/>
      <c r="BF128" s="151"/>
      <c r="BG128" s="151"/>
      <c r="BH128" s="151"/>
      <c r="BI128" s="151"/>
      <c r="BJ128" s="151"/>
      <c r="BK128" s="151"/>
      <c r="BL128" s="151"/>
      <c r="BM128" s="151"/>
      <c r="BN128" s="151"/>
      <c r="BO128" s="151"/>
      <c r="BP128" s="151"/>
      <c r="BQ128" s="151"/>
      <c r="BR128" s="151"/>
    </row>
    <row r="129" s="75" customFormat="true" ht="30" hidden="false" customHeight="false" outlineLevel="0" collapsed="false">
      <c r="A129" s="141" t="s">
        <v>406</v>
      </c>
      <c r="B129" s="142" t="s">
        <v>1152</v>
      </c>
      <c r="C129" s="143" t="s">
        <v>1272</v>
      </c>
      <c r="D129" s="144" t="s">
        <v>1086</v>
      </c>
      <c r="E129" s="144" t="s">
        <v>1153</v>
      </c>
      <c r="F129" s="144" t="s">
        <v>1089</v>
      </c>
      <c r="G129" s="145" t="s">
        <v>1153</v>
      </c>
      <c r="H129" s="146" t="s">
        <v>81</v>
      </c>
      <c r="I129" s="147" t="s">
        <v>82</v>
      </c>
      <c r="J129" s="148" t="s">
        <v>81</v>
      </c>
      <c r="K129" s="149" t="s">
        <v>82</v>
      </c>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0"/>
      <c r="AM129" s="150"/>
      <c r="AN129" s="150"/>
      <c r="AO129" s="150"/>
      <c r="AP129" s="150"/>
      <c r="AQ129" s="150"/>
      <c r="AR129" s="150"/>
      <c r="AS129" s="150"/>
      <c r="AT129" s="150"/>
      <c r="AU129" s="150"/>
      <c r="AV129" s="150"/>
      <c r="AW129" s="150"/>
      <c r="AX129" s="150"/>
      <c r="AY129" s="151"/>
      <c r="AZ129" s="151"/>
      <c r="BA129" s="151"/>
      <c r="BB129" s="151"/>
      <c r="BC129" s="151"/>
      <c r="BD129" s="151"/>
      <c r="BE129" s="151"/>
      <c r="BF129" s="151"/>
      <c r="BG129" s="151"/>
      <c r="BH129" s="151"/>
      <c r="BI129" s="151"/>
      <c r="BJ129" s="151"/>
      <c r="BK129" s="151"/>
      <c r="BL129" s="151"/>
      <c r="BM129" s="151"/>
      <c r="BN129" s="151"/>
      <c r="BO129" s="151"/>
      <c r="BP129" s="151"/>
      <c r="BQ129" s="151"/>
      <c r="BR129" s="151"/>
    </row>
    <row r="130" s="75" customFormat="true" ht="30" hidden="false" customHeight="false" outlineLevel="0" collapsed="false">
      <c r="A130" s="141" t="s">
        <v>408</v>
      </c>
      <c r="B130" s="142" t="s">
        <v>1152</v>
      </c>
      <c r="C130" s="143" t="s">
        <v>1273</v>
      </c>
      <c r="D130" s="144" t="s">
        <v>1086</v>
      </c>
      <c r="E130" s="144" t="s">
        <v>1153</v>
      </c>
      <c r="F130" s="144" t="s">
        <v>1089</v>
      </c>
      <c r="G130" s="145" t="s">
        <v>1153</v>
      </c>
      <c r="H130" s="146" t="s">
        <v>1252</v>
      </c>
      <c r="I130" s="147" t="s">
        <v>82</v>
      </c>
      <c r="J130" s="148" t="s">
        <v>1252</v>
      </c>
      <c r="K130" s="149" t="s">
        <v>82</v>
      </c>
      <c r="L130" s="150" t="s">
        <v>1253</v>
      </c>
      <c r="M130" s="150"/>
      <c r="N130" s="150"/>
      <c r="O130" s="150"/>
      <c r="P130" s="150"/>
      <c r="Q130" s="150"/>
      <c r="R130" s="150"/>
      <c r="S130" s="150"/>
      <c r="T130" s="150"/>
      <c r="U130" s="150"/>
      <c r="V130" s="150"/>
      <c r="W130" s="150"/>
      <c r="X130" s="150"/>
      <c r="Y130" s="150"/>
      <c r="Z130" s="150"/>
      <c r="AA130" s="150"/>
      <c r="AB130" s="150"/>
      <c r="AC130" s="150"/>
      <c r="AD130" s="150"/>
      <c r="AE130" s="150"/>
      <c r="AF130" s="150"/>
      <c r="AG130" s="150"/>
      <c r="AH130" s="150"/>
      <c r="AI130" s="150"/>
      <c r="AJ130" s="150"/>
      <c r="AK130" s="150"/>
      <c r="AL130" s="150"/>
      <c r="AM130" s="150"/>
      <c r="AN130" s="150"/>
      <c r="AO130" s="150"/>
      <c r="AP130" s="150"/>
      <c r="AQ130" s="150"/>
      <c r="AR130" s="150"/>
      <c r="AS130" s="150"/>
      <c r="AT130" s="150"/>
      <c r="AU130" s="150"/>
      <c r="AV130" s="150"/>
      <c r="AW130" s="150"/>
      <c r="AX130" s="150"/>
      <c r="AY130" s="151"/>
      <c r="AZ130" s="151"/>
      <c r="BA130" s="151"/>
      <c r="BB130" s="151"/>
      <c r="BC130" s="151"/>
      <c r="BD130" s="151"/>
      <c r="BE130" s="151"/>
      <c r="BF130" s="151"/>
      <c r="BG130" s="151"/>
      <c r="BH130" s="151"/>
      <c r="BI130" s="151"/>
      <c r="BJ130" s="151"/>
      <c r="BK130" s="151"/>
      <c r="BL130" s="151"/>
      <c r="BM130" s="151"/>
      <c r="BN130" s="151"/>
      <c r="BO130" s="151"/>
      <c r="BP130" s="151"/>
      <c r="BQ130" s="151"/>
      <c r="BR130" s="151"/>
    </row>
    <row r="131" s="75" customFormat="true" ht="30" hidden="false" customHeight="false" outlineLevel="0" collapsed="false">
      <c r="A131" s="141" t="s">
        <v>410</v>
      </c>
      <c r="B131" s="142" t="s">
        <v>1152</v>
      </c>
      <c r="C131" s="143" t="s">
        <v>1274</v>
      </c>
      <c r="D131" s="144" t="s">
        <v>1086</v>
      </c>
      <c r="E131" s="144" t="s">
        <v>1153</v>
      </c>
      <c r="F131" s="144" t="s">
        <v>1089</v>
      </c>
      <c r="G131" s="145" t="s">
        <v>1153</v>
      </c>
      <c r="H131" s="146" t="s">
        <v>81</v>
      </c>
      <c r="I131" s="147" t="s">
        <v>82</v>
      </c>
      <c r="J131" s="148" t="s">
        <v>81</v>
      </c>
      <c r="K131" s="149" t="s">
        <v>82</v>
      </c>
      <c r="L131" s="150"/>
      <c r="M131" s="150"/>
      <c r="N131" s="150"/>
      <c r="O131" s="150"/>
      <c r="P131" s="150"/>
      <c r="Q131" s="150"/>
      <c r="R131" s="150"/>
      <c r="S131" s="150"/>
      <c r="T131" s="150"/>
      <c r="U131" s="150"/>
      <c r="V131" s="150"/>
      <c r="W131" s="150"/>
      <c r="X131" s="150"/>
      <c r="Y131" s="150"/>
      <c r="Z131" s="150"/>
      <c r="AA131" s="150"/>
      <c r="AB131" s="150"/>
      <c r="AC131" s="150"/>
      <c r="AD131" s="150"/>
      <c r="AE131" s="150"/>
      <c r="AF131" s="150"/>
      <c r="AG131" s="150"/>
      <c r="AH131" s="150"/>
      <c r="AI131" s="150"/>
      <c r="AJ131" s="150"/>
      <c r="AK131" s="150"/>
      <c r="AL131" s="150"/>
      <c r="AM131" s="150"/>
      <c r="AN131" s="150"/>
      <c r="AO131" s="150"/>
      <c r="AP131" s="150"/>
      <c r="AQ131" s="150"/>
      <c r="AR131" s="150"/>
      <c r="AS131" s="150"/>
      <c r="AT131" s="150"/>
      <c r="AU131" s="150"/>
      <c r="AV131" s="150"/>
      <c r="AW131" s="150"/>
      <c r="AX131" s="150"/>
      <c r="AY131" s="151"/>
      <c r="AZ131" s="151"/>
      <c r="BA131" s="151"/>
      <c r="BB131" s="151"/>
      <c r="BC131" s="151"/>
      <c r="BD131" s="151"/>
      <c r="BE131" s="151"/>
      <c r="BF131" s="151"/>
      <c r="BG131" s="151"/>
      <c r="BH131" s="151"/>
      <c r="BI131" s="151"/>
      <c r="BJ131" s="151"/>
      <c r="BK131" s="151"/>
      <c r="BL131" s="151"/>
      <c r="BM131" s="151"/>
      <c r="BN131" s="151"/>
      <c r="BO131" s="151"/>
      <c r="BP131" s="151"/>
      <c r="BQ131" s="151"/>
      <c r="BR131" s="151"/>
    </row>
    <row r="132" s="75" customFormat="true" ht="30" hidden="false" customHeight="false" outlineLevel="0" collapsed="false">
      <c r="A132" s="141" t="s">
        <v>412</v>
      </c>
      <c r="B132" s="142" t="s">
        <v>1152</v>
      </c>
      <c r="C132" s="143" t="s">
        <v>1275</v>
      </c>
      <c r="D132" s="144" t="s">
        <v>1086</v>
      </c>
      <c r="E132" s="144" t="s">
        <v>1153</v>
      </c>
      <c r="F132" s="144" t="s">
        <v>1089</v>
      </c>
      <c r="G132" s="145" t="s">
        <v>1153</v>
      </c>
      <c r="H132" s="146" t="s">
        <v>1252</v>
      </c>
      <c r="I132" s="147" t="s">
        <v>82</v>
      </c>
      <c r="J132" s="148" t="s">
        <v>1252</v>
      </c>
      <c r="K132" s="149" t="s">
        <v>82</v>
      </c>
      <c r="L132" s="150" t="s">
        <v>1253</v>
      </c>
      <c r="M132" s="150"/>
      <c r="N132" s="150"/>
      <c r="O132" s="150"/>
      <c r="P132" s="150"/>
      <c r="Q132" s="150"/>
      <c r="R132" s="150"/>
      <c r="S132" s="150"/>
      <c r="T132" s="150"/>
      <c r="U132" s="150"/>
      <c r="V132" s="150"/>
      <c r="W132" s="150"/>
      <c r="X132" s="150"/>
      <c r="Y132" s="150"/>
      <c r="Z132" s="150"/>
      <c r="AA132" s="150"/>
      <c r="AB132" s="150"/>
      <c r="AC132" s="150"/>
      <c r="AD132" s="150"/>
      <c r="AE132" s="150"/>
      <c r="AF132" s="150"/>
      <c r="AG132" s="150"/>
      <c r="AH132" s="150"/>
      <c r="AI132" s="150"/>
      <c r="AJ132" s="150"/>
      <c r="AK132" s="150"/>
      <c r="AL132" s="150"/>
      <c r="AM132" s="150"/>
      <c r="AN132" s="150"/>
      <c r="AO132" s="150"/>
      <c r="AP132" s="150"/>
      <c r="AQ132" s="150"/>
      <c r="AR132" s="150"/>
      <c r="AS132" s="150"/>
      <c r="AT132" s="150"/>
      <c r="AU132" s="150"/>
      <c r="AV132" s="150"/>
      <c r="AW132" s="150"/>
      <c r="AX132" s="150"/>
      <c r="AY132" s="151"/>
      <c r="AZ132" s="151"/>
      <c r="BA132" s="151"/>
      <c r="BB132" s="151"/>
      <c r="BC132" s="151"/>
      <c r="BD132" s="151"/>
      <c r="BE132" s="151"/>
      <c r="BF132" s="151"/>
      <c r="BG132" s="151"/>
      <c r="BH132" s="151"/>
      <c r="BI132" s="151"/>
      <c r="BJ132" s="151"/>
      <c r="BK132" s="151"/>
      <c r="BL132" s="151"/>
      <c r="BM132" s="151"/>
      <c r="BN132" s="151"/>
      <c r="BO132" s="151"/>
      <c r="BP132" s="151"/>
      <c r="BQ132" s="151"/>
      <c r="BR132" s="151"/>
    </row>
    <row r="133" s="75" customFormat="true" ht="15" hidden="false" customHeight="false" outlineLevel="0" collapsed="false">
      <c r="A133" s="141" t="s">
        <v>414</v>
      </c>
      <c r="B133" s="142" t="s">
        <v>1152</v>
      </c>
      <c r="C133" s="143" t="s">
        <v>1276</v>
      </c>
      <c r="D133" s="144" t="s">
        <v>1086</v>
      </c>
      <c r="E133" s="144" t="s">
        <v>1153</v>
      </c>
      <c r="F133" s="144" t="s">
        <v>1089</v>
      </c>
      <c r="G133" s="145" t="s">
        <v>1153</v>
      </c>
      <c r="H133" s="146" t="s">
        <v>81</v>
      </c>
      <c r="I133" s="147" t="s">
        <v>82</v>
      </c>
      <c r="J133" s="148" t="s">
        <v>81</v>
      </c>
      <c r="K133" s="149" t="s">
        <v>82</v>
      </c>
      <c r="L133" s="150"/>
      <c r="M133" s="150"/>
      <c r="N133" s="150"/>
      <c r="O133" s="150"/>
      <c r="P133" s="150"/>
      <c r="Q133" s="150"/>
      <c r="R133" s="150"/>
      <c r="S133" s="150"/>
      <c r="T133" s="150"/>
      <c r="U133" s="150"/>
      <c r="V133" s="150"/>
      <c r="W133" s="150"/>
      <c r="X133" s="150"/>
      <c r="Y133" s="150"/>
      <c r="Z133" s="150"/>
      <c r="AA133" s="150"/>
      <c r="AB133" s="150"/>
      <c r="AC133" s="150"/>
      <c r="AD133" s="150"/>
      <c r="AE133" s="150"/>
      <c r="AF133" s="150"/>
      <c r="AG133" s="150"/>
      <c r="AH133" s="150"/>
      <c r="AI133" s="150"/>
      <c r="AJ133" s="150"/>
      <c r="AK133" s="150"/>
      <c r="AL133" s="150"/>
      <c r="AM133" s="150"/>
      <c r="AN133" s="150"/>
      <c r="AO133" s="150"/>
      <c r="AP133" s="150"/>
      <c r="AQ133" s="150"/>
      <c r="AR133" s="150"/>
      <c r="AS133" s="150"/>
      <c r="AT133" s="150"/>
      <c r="AU133" s="150"/>
      <c r="AV133" s="150"/>
      <c r="AW133" s="150"/>
      <c r="AX133" s="150"/>
      <c r="AY133" s="151"/>
      <c r="AZ133" s="151"/>
      <c r="BA133" s="151"/>
      <c r="BB133" s="151"/>
      <c r="BC133" s="151"/>
      <c r="BD133" s="151"/>
      <c r="BE133" s="151"/>
      <c r="BF133" s="151"/>
      <c r="BG133" s="151"/>
      <c r="BH133" s="151"/>
      <c r="BI133" s="151"/>
      <c r="BJ133" s="151"/>
      <c r="BK133" s="151"/>
      <c r="BL133" s="151"/>
      <c r="BM133" s="151"/>
      <c r="BN133" s="151"/>
      <c r="BO133" s="151"/>
      <c r="BP133" s="151"/>
      <c r="BQ133" s="151"/>
      <c r="BR133" s="151"/>
    </row>
    <row r="134" s="75" customFormat="true" ht="30" hidden="false" customHeight="false" outlineLevel="0" collapsed="false">
      <c r="A134" s="141" t="s">
        <v>416</v>
      </c>
      <c r="B134" s="142" t="s">
        <v>1152</v>
      </c>
      <c r="C134" s="143" t="s">
        <v>1277</v>
      </c>
      <c r="D134" s="144" t="s">
        <v>1086</v>
      </c>
      <c r="E134" s="144" t="s">
        <v>1153</v>
      </c>
      <c r="F134" s="144" t="s">
        <v>1089</v>
      </c>
      <c r="G134" s="145" t="s">
        <v>1153</v>
      </c>
      <c r="H134" s="146" t="s">
        <v>1252</v>
      </c>
      <c r="I134" s="147" t="s">
        <v>82</v>
      </c>
      <c r="J134" s="148" t="s">
        <v>1252</v>
      </c>
      <c r="K134" s="149" t="s">
        <v>82</v>
      </c>
      <c r="L134" s="150" t="s">
        <v>1253</v>
      </c>
      <c r="M134" s="150"/>
      <c r="N134" s="150"/>
      <c r="O134" s="150"/>
      <c r="P134" s="150"/>
      <c r="Q134" s="150"/>
      <c r="R134" s="150"/>
      <c r="S134" s="150"/>
      <c r="T134" s="150"/>
      <c r="U134" s="150"/>
      <c r="V134" s="150"/>
      <c r="W134" s="150"/>
      <c r="X134" s="150"/>
      <c r="Y134" s="150"/>
      <c r="Z134" s="150"/>
      <c r="AA134" s="150"/>
      <c r="AB134" s="150"/>
      <c r="AC134" s="150"/>
      <c r="AD134" s="150"/>
      <c r="AE134" s="150"/>
      <c r="AF134" s="150"/>
      <c r="AG134" s="150"/>
      <c r="AH134" s="150"/>
      <c r="AI134" s="150"/>
      <c r="AJ134" s="150"/>
      <c r="AK134" s="150"/>
      <c r="AL134" s="150"/>
      <c r="AM134" s="150"/>
      <c r="AN134" s="150"/>
      <c r="AO134" s="150"/>
      <c r="AP134" s="150"/>
      <c r="AQ134" s="150"/>
      <c r="AR134" s="150"/>
      <c r="AS134" s="150"/>
      <c r="AT134" s="150"/>
      <c r="AU134" s="150"/>
      <c r="AV134" s="150"/>
      <c r="AW134" s="150"/>
      <c r="AX134" s="150"/>
      <c r="AY134" s="151"/>
      <c r="AZ134" s="151"/>
      <c r="BA134" s="151"/>
      <c r="BB134" s="151"/>
      <c r="BC134" s="151"/>
      <c r="BD134" s="151"/>
      <c r="BE134" s="151"/>
      <c r="BF134" s="151"/>
      <c r="BG134" s="151"/>
      <c r="BH134" s="151"/>
      <c r="BI134" s="151"/>
      <c r="BJ134" s="151"/>
      <c r="BK134" s="151"/>
      <c r="BL134" s="151"/>
      <c r="BM134" s="151"/>
      <c r="BN134" s="151"/>
      <c r="BO134" s="151"/>
      <c r="BP134" s="151"/>
      <c r="BQ134" s="151"/>
      <c r="BR134" s="151"/>
    </row>
    <row r="135" s="75" customFormat="true" ht="15" hidden="false" customHeight="false" outlineLevel="0" collapsed="false">
      <c r="A135" s="141" t="s">
        <v>425</v>
      </c>
      <c r="B135" s="142" t="s">
        <v>1152</v>
      </c>
      <c r="C135" s="143" t="s">
        <v>1278</v>
      </c>
      <c r="D135" s="144" t="s">
        <v>1086</v>
      </c>
      <c r="E135" s="144" t="s">
        <v>1153</v>
      </c>
      <c r="F135" s="144" t="s">
        <v>1089</v>
      </c>
      <c r="G135" s="145" t="s">
        <v>1153</v>
      </c>
      <c r="H135" s="146" t="s">
        <v>81</v>
      </c>
      <c r="I135" s="147" t="s">
        <v>82</v>
      </c>
      <c r="J135" s="148" t="s">
        <v>81</v>
      </c>
      <c r="K135" s="149" t="s">
        <v>82</v>
      </c>
      <c r="L135" s="150"/>
      <c r="M135" s="150"/>
      <c r="N135" s="150"/>
      <c r="O135" s="150"/>
      <c r="P135" s="150"/>
      <c r="Q135" s="150"/>
      <c r="R135" s="150"/>
      <c r="S135" s="150"/>
      <c r="T135" s="150"/>
      <c r="U135" s="150"/>
      <c r="V135" s="150"/>
      <c r="W135" s="150"/>
      <c r="X135" s="150"/>
      <c r="Y135" s="150"/>
      <c r="Z135" s="150"/>
      <c r="AA135" s="150"/>
      <c r="AB135" s="150"/>
      <c r="AC135" s="150"/>
      <c r="AD135" s="150"/>
      <c r="AE135" s="150"/>
      <c r="AF135" s="150"/>
      <c r="AG135" s="150"/>
      <c r="AH135" s="150"/>
      <c r="AI135" s="150"/>
      <c r="AJ135" s="150"/>
      <c r="AK135" s="150"/>
      <c r="AL135" s="150"/>
      <c r="AM135" s="150"/>
      <c r="AN135" s="150"/>
      <c r="AO135" s="150"/>
      <c r="AP135" s="150"/>
      <c r="AQ135" s="150"/>
      <c r="AR135" s="150"/>
      <c r="AS135" s="150"/>
      <c r="AT135" s="150"/>
      <c r="AU135" s="150"/>
      <c r="AV135" s="150"/>
      <c r="AW135" s="150"/>
      <c r="AX135" s="150"/>
      <c r="AY135" s="151"/>
      <c r="AZ135" s="151"/>
      <c r="BA135" s="151"/>
      <c r="BB135" s="151"/>
      <c r="BC135" s="151"/>
      <c r="BD135" s="151"/>
      <c r="BE135" s="151"/>
      <c r="BF135" s="151"/>
      <c r="BG135" s="151"/>
      <c r="BH135" s="151"/>
      <c r="BI135" s="151"/>
      <c r="BJ135" s="151"/>
      <c r="BK135" s="151"/>
      <c r="BL135" s="151"/>
      <c r="BM135" s="151"/>
      <c r="BN135" s="151"/>
      <c r="BO135" s="151"/>
      <c r="BP135" s="151"/>
      <c r="BQ135" s="151"/>
      <c r="BR135" s="151"/>
    </row>
    <row r="136" s="75" customFormat="true" ht="15" hidden="false" customHeight="false" outlineLevel="0" collapsed="false">
      <c r="A136" s="141" t="s">
        <v>430</v>
      </c>
      <c r="B136" s="142" t="s">
        <v>1152</v>
      </c>
      <c r="C136" s="143" t="s">
        <v>1279</v>
      </c>
      <c r="D136" s="144" t="s">
        <v>1086</v>
      </c>
      <c r="E136" s="144" t="s">
        <v>1153</v>
      </c>
      <c r="F136" s="144" t="s">
        <v>1089</v>
      </c>
      <c r="G136" s="145" t="s">
        <v>1153</v>
      </c>
      <c r="H136" s="146" t="s">
        <v>81</v>
      </c>
      <c r="I136" s="147" t="s">
        <v>82</v>
      </c>
      <c r="J136" s="148" t="s">
        <v>81</v>
      </c>
      <c r="K136" s="149" t="s">
        <v>82</v>
      </c>
      <c r="L136" s="150"/>
      <c r="M136" s="150"/>
      <c r="N136" s="150"/>
      <c r="O136" s="150"/>
      <c r="P136" s="150"/>
      <c r="Q136" s="150"/>
      <c r="R136" s="150"/>
      <c r="S136" s="150"/>
      <c r="T136" s="150"/>
      <c r="U136" s="150"/>
      <c r="V136" s="150"/>
      <c r="W136" s="150"/>
      <c r="X136" s="150"/>
      <c r="Y136" s="150"/>
      <c r="Z136" s="150"/>
      <c r="AA136" s="150"/>
      <c r="AB136" s="150"/>
      <c r="AC136" s="150"/>
      <c r="AD136" s="150"/>
      <c r="AE136" s="150"/>
      <c r="AF136" s="150"/>
      <c r="AG136" s="150"/>
      <c r="AH136" s="150"/>
      <c r="AI136" s="150"/>
      <c r="AJ136" s="150"/>
      <c r="AK136" s="150"/>
      <c r="AL136" s="150"/>
      <c r="AM136" s="150"/>
      <c r="AN136" s="150"/>
      <c r="AO136" s="150"/>
      <c r="AP136" s="150"/>
      <c r="AQ136" s="150"/>
      <c r="AR136" s="150"/>
      <c r="AS136" s="150"/>
      <c r="AT136" s="150"/>
      <c r="AU136" s="150"/>
      <c r="AV136" s="150"/>
      <c r="AW136" s="150"/>
      <c r="AX136" s="150"/>
      <c r="AY136" s="151"/>
      <c r="AZ136" s="151"/>
      <c r="BA136" s="151"/>
      <c r="BB136" s="151"/>
      <c r="BC136" s="151"/>
      <c r="BD136" s="151"/>
      <c r="BE136" s="151"/>
      <c r="BF136" s="151"/>
      <c r="BG136" s="151"/>
      <c r="BH136" s="151"/>
      <c r="BI136" s="151"/>
      <c r="BJ136" s="151"/>
      <c r="BK136" s="151"/>
      <c r="BL136" s="151"/>
      <c r="BM136" s="151"/>
      <c r="BN136" s="151"/>
      <c r="BO136" s="151"/>
      <c r="BP136" s="151"/>
      <c r="BQ136" s="151"/>
      <c r="BR136" s="151"/>
    </row>
    <row r="137" s="75" customFormat="true" ht="15" hidden="false" customHeight="false" outlineLevel="0" collapsed="false">
      <c r="A137" s="141" t="s">
        <v>444</v>
      </c>
      <c r="B137" s="142" t="s">
        <v>1152</v>
      </c>
      <c r="C137" s="143" t="s">
        <v>1280</v>
      </c>
      <c r="D137" s="144" t="s">
        <v>1086</v>
      </c>
      <c r="E137" s="144" t="s">
        <v>1153</v>
      </c>
      <c r="F137" s="144" t="s">
        <v>1089</v>
      </c>
      <c r="G137" s="145" t="s">
        <v>1153</v>
      </c>
      <c r="H137" s="146" t="s">
        <v>81</v>
      </c>
      <c r="I137" s="147" t="s">
        <v>82</v>
      </c>
      <c r="J137" s="148" t="s">
        <v>81</v>
      </c>
      <c r="K137" s="149" t="s">
        <v>82</v>
      </c>
      <c r="L137" s="150"/>
      <c r="M137" s="150"/>
      <c r="N137" s="150"/>
      <c r="O137" s="150"/>
      <c r="P137" s="150"/>
      <c r="Q137" s="150"/>
      <c r="R137" s="150"/>
      <c r="S137" s="150"/>
      <c r="T137" s="150"/>
      <c r="U137" s="150"/>
      <c r="V137" s="150"/>
      <c r="W137" s="150"/>
      <c r="X137" s="150"/>
      <c r="Y137" s="150"/>
      <c r="Z137" s="150"/>
      <c r="AA137" s="150"/>
      <c r="AB137" s="150"/>
      <c r="AC137" s="150"/>
      <c r="AD137" s="150"/>
      <c r="AE137" s="150"/>
      <c r="AF137" s="150"/>
      <c r="AG137" s="150"/>
      <c r="AH137" s="150"/>
      <c r="AI137" s="150"/>
      <c r="AJ137" s="150"/>
      <c r="AK137" s="150"/>
      <c r="AL137" s="150"/>
      <c r="AM137" s="150"/>
      <c r="AN137" s="150"/>
      <c r="AO137" s="150"/>
      <c r="AP137" s="150"/>
      <c r="AQ137" s="150"/>
      <c r="AR137" s="150"/>
      <c r="AS137" s="150"/>
      <c r="AT137" s="150"/>
      <c r="AU137" s="150"/>
      <c r="AV137" s="150"/>
      <c r="AW137" s="150"/>
      <c r="AX137" s="150"/>
      <c r="AY137" s="151"/>
      <c r="AZ137" s="151"/>
      <c r="BA137" s="151"/>
      <c r="BB137" s="151"/>
      <c r="BC137" s="151"/>
      <c r="BD137" s="151"/>
      <c r="BE137" s="151"/>
      <c r="BF137" s="151"/>
      <c r="BG137" s="151"/>
      <c r="BH137" s="151"/>
      <c r="BI137" s="151"/>
      <c r="BJ137" s="151"/>
      <c r="BK137" s="151"/>
      <c r="BL137" s="151"/>
      <c r="BM137" s="151"/>
      <c r="BN137" s="151"/>
      <c r="BO137" s="151"/>
      <c r="BP137" s="151"/>
      <c r="BQ137" s="151"/>
      <c r="BR137" s="151"/>
    </row>
    <row r="138" s="75" customFormat="true" ht="15" hidden="false" customHeight="false" outlineLevel="0" collapsed="false">
      <c r="A138" s="141" t="s">
        <v>449</v>
      </c>
      <c r="B138" s="142" t="s">
        <v>1152</v>
      </c>
      <c r="C138" s="143" t="s">
        <v>1281</v>
      </c>
      <c r="D138" s="144" t="s">
        <v>1086</v>
      </c>
      <c r="E138" s="144" t="s">
        <v>1153</v>
      </c>
      <c r="F138" s="144" t="s">
        <v>1089</v>
      </c>
      <c r="G138" s="145" t="s">
        <v>1153</v>
      </c>
      <c r="H138" s="146" t="s">
        <v>81</v>
      </c>
      <c r="I138" s="147" t="s">
        <v>82</v>
      </c>
      <c r="J138" s="148" t="s">
        <v>81</v>
      </c>
      <c r="K138" s="149" t="s">
        <v>82</v>
      </c>
      <c r="L138" s="150"/>
      <c r="M138" s="150"/>
      <c r="N138" s="150"/>
      <c r="O138" s="150"/>
      <c r="P138" s="150"/>
      <c r="Q138" s="150"/>
      <c r="R138" s="150"/>
      <c r="S138" s="150"/>
      <c r="T138" s="150"/>
      <c r="U138" s="150"/>
      <c r="V138" s="150"/>
      <c r="W138" s="150"/>
      <c r="X138" s="150"/>
      <c r="Y138" s="150"/>
      <c r="Z138" s="150"/>
      <c r="AA138" s="150"/>
      <c r="AB138" s="150"/>
      <c r="AC138" s="150"/>
      <c r="AD138" s="150"/>
      <c r="AE138" s="150"/>
      <c r="AF138" s="150"/>
      <c r="AG138" s="150"/>
      <c r="AH138" s="150"/>
      <c r="AI138" s="150"/>
      <c r="AJ138" s="150"/>
      <c r="AK138" s="150"/>
      <c r="AL138" s="150"/>
      <c r="AM138" s="150"/>
      <c r="AN138" s="150"/>
      <c r="AO138" s="150"/>
      <c r="AP138" s="150"/>
      <c r="AQ138" s="150"/>
      <c r="AR138" s="150"/>
      <c r="AS138" s="150"/>
      <c r="AT138" s="150"/>
      <c r="AU138" s="150"/>
      <c r="AV138" s="150"/>
      <c r="AW138" s="150"/>
      <c r="AX138" s="150"/>
      <c r="AY138" s="151"/>
      <c r="AZ138" s="151"/>
      <c r="BA138" s="151"/>
      <c r="BB138" s="151"/>
      <c r="BC138" s="151"/>
      <c r="BD138" s="151"/>
      <c r="BE138" s="151"/>
      <c r="BF138" s="151"/>
      <c r="BG138" s="151"/>
      <c r="BH138" s="151"/>
      <c r="BI138" s="151"/>
      <c r="BJ138" s="151"/>
      <c r="BK138" s="151"/>
      <c r="BL138" s="151"/>
      <c r="BM138" s="151"/>
      <c r="BN138" s="151"/>
      <c r="BO138" s="151"/>
      <c r="BP138" s="151"/>
      <c r="BQ138" s="151"/>
      <c r="BR138" s="151"/>
    </row>
    <row r="139" s="75" customFormat="true" ht="30" hidden="false" customHeight="false" outlineLevel="0" collapsed="false">
      <c r="A139" s="141" t="s">
        <v>451</v>
      </c>
      <c r="B139" s="142" t="s">
        <v>1152</v>
      </c>
      <c r="C139" s="143" t="s">
        <v>1282</v>
      </c>
      <c r="D139" s="144" t="s">
        <v>1086</v>
      </c>
      <c r="E139" s="144" t="s">
        <v>1153</v>
      </c>
      <c r="F139" s="144" t="s">
        <v>1089</v>
      </c>
      <c r="G139" s="145" t="s">
        <v>1153</v>
      </c>
      <c r="H139" s="146" t="s">
        <v>81</v>
      </c>
      <c r="I139" s="147" t="s">
        <v>82</v>
      </c>
      <c r="J139" s="148" t="s">
        <v>81</v>
      </c>
      <c r="K139" s="149" t="s">
        <v>82</v>
      </c>
      <c r="L139" s="150"/>
      <c r="M139" s="150"/>
      <c r="N139" s="150"/>
      <c r="O139" s="150"/>
      <c r="P139" s="150"/>
      <c r="Q139" s="150"/>
      <c r="R139" s="150"/>
      <c r="S139" s="150"/>
      <c r="T139" s="150"/>
      <c r="U139" s="150"/>
      <c r="V139" s="150"/>
      <c r="W139" s="150"/>
      <c r="X139" s="150"/>
      <c r="Y139" s="150"/>
      <c r="Z139" s="150"/>
      <c r="AA139" s="150"/>
      <c r="AB139" s="150"/>
      <c r="AC139" s="150"/>
      <c r="AD139" s="150"/>
      <c r="AE139" s="150"/>
      <c r="AF139" s="150"/>
      <c r="AG139" s="150"/>
      <c r="AH139" s="150"/>
      <c r="AI139" s="150"/>
      <c r="AJ139" s="150"/>
      <c r="AK139" s="150"/>
      <c r="AL139" s="150"/>
      <c r="AM139" s="150"/>
      <c r="AN139" s="150"/>
      <c r="AO139" s="150"/>
      <c r="AP139" s="150"/>
      <c r="AQ139" s="150"/>
      <c r="AR139" s="150"/>
      <c r="AS139" s="150"/>
      <c r="AT139" s="150"/>
      <c r="AU139" s="150"/>
      <c r="AV139" s="150"/>
      <c r="AW139" s="150"/>
      <c r="AX139" s="150"/>
      <c r="AY139" s="151"/>
      <c r="AZ139" s="151"/>
      <c r="BA139" s="151"/>
      <c r="BB139" s="151"/>
      <c r="BC139" s="151"/>
      <c r="BD139" s="151"/>
      <c r="BE139" s="151"/>
      <c r="BF139" s="151"/>
      <c r="BG139" s="151"/>
      <c r="BH139" s="151"/>
      <c r="BI139" s="151"/>
      <c r="BJ139" s="151"/>
      <c r="BK139" s="151"/>
      <c r="BL139" s="151"/>
      <c r="BM139" s="151"/>
      <c r="BN139" s="151"/>
      <c r="BO139" s="151"/>
      <c r="BP139" s="151"/>
      <c r="BQ139" s="151"/>
      <c r="BR139" s="151"/>
    </row>
    <row r="140" s="87" customFormat="true" ht="30" hidden="false" customHeight="false" outlineLevel="0" collapsed="false">
      <c r="A140" s="141" t="s">
        <v>453</v>
      </c>
      <c r="B140" s="142" t="s">
        <v>1152</v>
      </c>
      <c r="C140" s="143" t="s">
        <v>1283</v>
      </c>
      <c r="D140" s="144" t="s">
        <v>1086</v>
      </c>
      <c r="E140" s="144" t="s">
        <v>1153</v>
      </c>
      <c r="F140" s="144" t="s">
        <v>1089</v>
      </c>
      <c r="G140" s="145" t="s">
        <v>1153</v>
      </c>
      <c r="H140" s="146" t="s">
        <v>1252</v>
      </c>
      <c r="I140" s="147" t="s">
        <v>82</v>
      </c>
      <c r="J140" s="148" t="s">
        <v>1252</v>
      </c>
      <c r="K140" s="149" t="s">
        <v>82</v>
      </c>
      <c r="L140" s="150" t="s">
        <v>1253</v>
      </c>
      <c r="M140" s="150"/>
      <c r="N140" s="150"/>
      <c r="O140" s="150"/>
      <c r="P140" s="150"/>
      <c r="Q140" s="150"/>
      <c r="R140" s="150"/>
      <c r="S140" s="150"/>
      <c r="T140" s="150"/>
      <c r="U140" s="150"/>
      <c r="V140" s="150"/>
      <c r="W140" s="150"/>
      <c r="X140" s="150"/>
      <c r="Y140" s="150"/>
      <c r="Z140" s="150"/>
      <c r="AA140" s="150"/>
      <c r="AB140" s="150"/>
      <c r="AC140" s="150"/>
      <c r="AD140" s="150"/>
      <c r="AE140" s="150"/>
      <c r="AF140" s="150"/>
      <c r="AG140" s="150"/>
      <c r="AH140" s="150"/>
      <c r="AI140" s="150"/>
      <c r="AJ140" s="150"/>
      <c r="AK140" s="150"/>
      <c r="AL140" s="150"/>
      <c r="AM140" s="150"/>
      <c r="AN140" s="150"/>
      <c r="AO140" s="150"/>
      <c r="AP140" s="150"/>
      <c r="AQ140" s="150"/>
      <c r="AR140" s="150"/>
      <c r="AS140" s="150"/>
      <c r="AT140" s="150"/>
      <c r="AU140" s="150"/>
      <c r="AV140" s="150"/>
      <c r="AW140" s="150"/>
      <c r="AX140" s="150"/>
      <c r="AY140" s="151"/>
      <c r="AZ140" s="151"/>
      <c r="BA140" s="151"/>
      <c r="BB140" s="151"/>
      <c r="BC140" s="151"/>
      <c r="BD140" s="151"/>
      <c r="BE140" s="151"/>
      <c r="BF140" s="151"/>
      <c r="BG140" s="151"/>
      <c r="BH140" s="151"/>
      <c r="BI140" s="151"/>
      <c r="BJ140" s="151"/>
      <c r="BK140" s="151"/>
      <c r="BL140" s="151"/>
      <c r="BM140" s="151"/>
      <c r="BN140" s="151"/>
      <c r="BO140" s="151"/>
      <c r="BP140" s="151"/>
      <c r="BQ140" s="151"/>
      <c r="BR140" s="151"/>
    </row>
    <row r="141" s="75" customFormat="true" ht="15" hidden="false" customHeight="false" outlineLevel="0" collapsed="false">
      <c r="A141" s="141" t="s">
        <v>455</v>
      </c>
      <c r="B141" s="142" t="s">
        <v>1152</v>
      </c>
      <c r="C141" s="143" t="s">
        <v>1284</v>
      </c>
      <c r="D141" s="144" t="s">
        <v>1086</v>
      </c>
      <c r="E141" s="144" t="s">
        <v>1153</v>
      </c>
      <c r="F141" s="144" t="s">
        <v>1089</v>
      </c>
      <c r="G141" s="145" t="s">
        <v>1153</v>
      </c>
      <c r="H141" s="146" t="s">
        <v>81</v>
      </c>
      <c r="I141" s="147" t="s">
        <v>82</v>
      </c>
      <c r="J141" s="148" t="s">
        <v>81</v>
      </c>
      <c r="K141" s="149" t="s">
        <v>82</v>
      </c>
      <c r="L141" s="150"/>
      <c r="M141" s="150"/>
      <c r="N141" s="150"/>
      <c r="O141" s="150"/>
      <c r="P141" s="150"/>
      <c r="Q141" s="150"/>
      <c r="R141" s="150"/>
      <c r="S141" s="150"/>
      <c r="T141" s="150"/>
      <c r="U141" s="150"/>
      <c r="V141" s="150"/>
      <c r="W141" s="150"/>
      <c r="X141" s="150"/>
      <c r="Y141" s="150"/>
      <c r="Z141" s="150"/>
      <c r="AA141" s="150"/>
      <c r="AB141" s="150"/>
      <c r="AC141" s="150"/>
      <c r="AD141" s="150"/>
      <c r="AE141" s="150"/>
      <c r="AF141" s="150"/>
      <c r="AG141" s="150"/>
      <c r="AH141" s="150"/>
      <c r="AI141" s="150"/>
      <c r="AJ141" s="150"/>
      <c r="AK141" s="150"/>
      <c r="AL141" s="150"/>
      <c r="AM141" s="150"/>
      <c r="AN141" s="150"/>
      <c r="AO141" s="150"/>
      <c r="AP141" s="150"/>
      <c r="AQ141" s="150"/>
      <c r="AR141" s="150"/>
      <c r="AS141" s="150"/>
      <c r="AT141" s="150"/>
      <c r="AU141" s="150"/>
      <c r="AV141" s="150"/>
      <c r="AW141" s="150"/>
      <c r="AX141" s="150"/>
      <c r="AY141" s="151"/>
      <c r="AZ141" s="151"/>
      <c r="BA141" s="151"/>
      <c r="BB141" s="151"/>
      <c r="BC141" s="151"/>
      <c r="BD141" s="151"/>
      <c r="BE141" s="151"/>
      <c r="BF141" s="151"/>
      <c r="BG141" s="151"/>
      <c r="BH141" s="151"/>
      <c r="BI141" s="151"/>
      <c r="BJ141" s="151"/>
      <c r="BK141" s="151"/>
      <c r="BL141" s="151"/>
      <c r="BM141" s="151"/>
      <c r="BN141" s="151"/>
      <c r="BO141" s="151"/>
      <c r="BP141" s="151"/>
      <c r="BQ141" s="151"/>
      <c r="BR141" s="151"/>
    </row>
    <row r="142" s="75" customFormat="true" ht="30" hidden="false" customHeight="false" outlineLevel="0" collapsed="false">
      <c r="A142" s="141" t="s">
        <v>457</v>
      </c>
      <c r="B142" s="142" t="s">
        <v>1152</v>
      </c>
      <c r="C142" s="143" t="s">
        <v>1285</v>
      </c>
      <c r="D142" s="144" t="s">
        <v>1086</v>
      </c>
      <c r="E142" s="144" t="s">
        <v>1153</v>
      </c>
      <c r="F142" s="144" t="s">
        <v>1089</v>
      </c>
      <c r="G142" s="145" t="s">
        <v>1153</v>
      </c>
      <c r="H142" s="146" t="s">
        <v>1252</v>
      </c>
      <c r="I142" s="147" t="s">
        <v>82</v>
      </c>
      <c r="J142" s="148" t="s">
        <v>1252</v>
      </c>
      <c r="K142" s="149" t="s">
        <v>82</v>
      </c>
      <c r="L142" s="150" t="s">
        <v>1253</v>
      </c>
      <c r="M142" s="150"/>
      <c r="N142" s="150"/>
      <c r="O142" s="150"/>
      <c r="P142" s="150"/>
      <c r="Q142" s="150"/>
      <c r="R142" s="150"/>
      <c r="S142" s="150"/>
      <c r="T142" s="150"/>
      <c r="U142" s="150"/>
      <c r="V142" s="150"/>
      <c r="W142" s="150"/>
      <c r="X142" s="150"/>
      <c r="Y142" s="150"/>
      <c r="Z142" s="150"/>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1"/>
      <c r="AZ142" s="151"/>
      <c r="BA142" s="151"/>
      <c r="BB142" s="151"/>
      <c r="BC142" s="151"/>
      <c r="BD142" s="151"/>
      <c r="BE142" s="151"/>
      <c r="BF142" s="151"/>
      <c r="BG142" s="151"/>
      <c r="BH142" s="151"/>
      <c r="BI142" s="151"/>
      <c r="BJ142" s="151"/>
      <c r="BK142" s="151"/>
      <c r="BL142" s="151"/>
      <c r="BM142" s="151"/>
      <c r="BN142" s="151"/>
      <c r="BO142" s="151"/>
      <c r="BP142" s="151"/>
      <c r="BQ142" s="151"/>
      <c r="BR142" s="151"/>
    </row>
    <row r="143" s="75" customFormat="true" ht="15" hidden="false" customHeight="false" outlineLevel="0" collapsed="false">
      <c r="A143" s="141" t="s">
        <v>360</v>
      </c>
      <c r="B143" s="142" t="s">
        <v>1152</v>
      </c>
      <c r="C143" s="143" t="s">
        <v>1286</v>
      </c>
      <c r="D143" s="144" t="s">
        <v>1086</v>
      </c>
      <c r="E143" s="144" t="s">
        <v>1153</v>
      </c>
      <c r="F143" s="144" t="s">
        <v>1089</v>
      </c>
      <c r="G143" s="145" t="s">
        <v>1153</v>
      </c>
      <c r="H143" s="146" t="s">
        <v>81</v>
      </c>
      <c r="I143" s="147" t="s">
        <v>82</v>
      </c>
      <c r="J143" s="148" t="s">
        <v>81</v>
      </c>
      <c r="K143" s="149" t="s">
        <v>82</v>
      </c>
      <c r="L143" s="150"/>
      <c r="M143" s="150"/>
      <c r="N143" s="150"/>
      <c r="O143" s="150"/>
      <c r="P143" s="150"/>
      <c r="Q143" s="150"/>
      <c r="R143" s="150"/>
      <c r="S143" s="150"/>
      <c r="T143" s="150"/>
      <c r="U143" s="150"/>
      <c r="V143" s="150"/>
      <c r="W143" s="150"/>
      <c r="X143" s="150"/>
      <c r="Y143" s="150"/>
      <c r="Z143" s="150"/>
      <c r="AA143" s="150"/>
      <c r="AB143" s="150"/>
      <c r="AC143" s="150"/>
      <c r="AD143" s="150"/>
      <c r="AE143" s="150"/>
      <c r="AF143" s="150"/>
      <c r="AG143" s="150"/>
      <c r="AH143" s="150"/>
      <c r="AI143" s="150"/>
      <c r="AJ143" s="150"/>
      <c r="AK143" s="150"/>
      <c r="AL143" s="150"/>
      <c r="AM143" s="150"/>
      <c r="AN143" s="150"/>
      <c r="AO143" s="150"/>
      <c r="AP143" s="150"/>
      <c r="AQ143" s="150"/>
      <c r="AR143" s="150"/>
      <c r="AS143" s="150"/>
      <c r="AT143" s="150"/>
      <c r="AU143" s="150"/>
      <c r="AV143" s="150"/>
      <c r="AW143" s="150"/>
      <c r="AX143" s="150"/>
      <c r="AY143" s="151"/>
      <c r="AZ143" s="151"/>
      <c r="BA143" s="151"/>
      <c r="BB143" s="151"/>
      <c r="BC143" s="151"/>
      <c r="BD143" s="151"/>
      <c r="BE143" s="151"/>
      <c r="BF143" s="151"/>
      <c r="BG143" s="151"/>
      <c r="BH143" s="151"/>
      <c r="BI143" s="151"/>
      <c r="BJ143" s="151"/>
      <c r="BK143" s="151"/>
      <c r="BL143" s="151"/>
      <c r="BM143" s="151"/>
      <c r="BN143" s="151"/>
      <c r="BO143" s="151"/>
      <c r="BP143" s="151"/>
      <c r="BQ143" s="151"/>
      <c r="BR143" s="151"/>
    </row>
    <row r="144" s="75" customFormat="true" ht="15" hidden="false" customHeight="false" outlineLevel="0" collapsed="false">
      <c r="A144" s="141"/>
      <c r="B144" s="142"/>
      <c r="C144" s="143"/>
      <c r="D144" s="144"/>
      <c r="E144" s="144"/>
      <c r="F144" s="144"/>
      <c r="G144" s="145"/>
      <c r="H144" s="146"/>
      <c r="I144" s="147"/>
      <c r="J144" s="148"/>
      <c r="K144" s="149"/>
      <c r="L144" s="150"/>
      <c r="M144" s="150"/>
      <c r="N144" s="150"/>
      <c r="O144" s="150"/>
      <c r="P144" s="150"/>
      <c r="Q144" s="150"/>
      <c r="R144" s="150"/>
      <c r="S144" s="150"/>
      <c r="T144" s="150"/>
      <c r="U144" s="150"/>
      <c r="V144" s="150"/>
      <c r="W144" s="150"/>
      <c r="X144" s="150"/>
      <c r="Y144" s="150"/>
      <c r="Z144" s="150"/>
      <c r="AA144" s="150"/>
      <c r="AB144" s="150"/>
      <c r="AC144" s="150"/>
      <c r="AD144" s="150"/>
      <c r="AE144" s="150"/>
      <c r="AF144" s="150"/>
      <c r="AG144" s="150"/>
      <c r="AH144" s="150"/>
      <c r="AI144" s="150"/>
      <c r="AJ144" s="150"/>
      <c r="AK144" s="150"/>
      <c r="AL144" s="150"/>
      <c r="AM144" s="150"/>
      <c r="AN144" s="150"/>
      <c r="AO144" s="150"/>
      <c r="AP144" s="150"/>
      <c r="AQ144" s="150"/>
      <c r="AR144" s="150"/>
      <c r="AS144" s="150"/>
      <c r="AT144" s="150"/>
      <c r="AU144" s="150"/>
      <c r="AV144" s="150"/>
      <c r="AW144" s="150"/>
      <c r="AX144" s="150"/>
      <c r="AY144" s="151"/>
      <c r="AZ144" s="151"/>
      <c r="BA144" s="151"/>
      <c r="BB144" s="151"/>
      <c r="BC144" s="151"/>
      <c r="BD144" s="151"/>
      <c r="BE144" s="151"/>
      <c r="BF144" s="151"/>
      <c r="BG144" s="151"/>
      <c r="BH144" s="151"/>
      <c r="BI144" s="151"/>
      <c r="BJ144" s="151"/>
      <c r="BK144" s="151"/>
      <c r="BL144" s="151"/>
      <c r="BM144" s="151"/>
      <c r="BN144" s="151"/>
      <c r="BO144" s="151"/>
      <c r="BP144" s="151"/>
      <c r="BQ144" s="151"/>
      <c r="BR144" s="151"/>
    </row>
    <row r="145" s="140" customFormat="true" ht="15" hidden="false" customHeight="false" outlineLevel="0" collapsed="false">
      <c r="A145" s="129" t="s">
        <v>1287</v>
      </c>
      <c r="B145" s="130" t="s">
        <v>1090</v>
      </c>
      <c r="C145" s="131"/>
      <c r="D145" s="132"/>
      <c r="E145" s="132"/>
      <c r="F145" s="132"/>
      <c r="G145" s="133"/>
      <c r="H145" s="134" t="s">
        <v>81</v>
      </c>
      <c r="I145" s="135" t="s">
        <v>88</v>
      </c>
      <c r="J145" s="136" t="s">
        <v>81</v>
      </c>
      <c r="K145" s="137" t="s">
        <v>88</v>
      </c>
      <c r="L145" s="138" t="s">
        <v>1288</v>
      </c>
      <c r="M145" s="138" t="s">
        <v>1289</v>
      </c>
      <c r="N145" s="138" t="s">
        <v>1290</v>
      </c>
      <c r="O145" s="138" t="s">
        <v>1291</v>
      </c>
      <c r="P145" s="138" t="s">
        <v>1292</v>
      </c>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9"/>
      <c r="AZ145" s="139"/>
      <c r="BA145" s="139"/>
      <c r="BB145" s="139"/>
      <c r="BC145" s="139"/>
      <c r="BD145" s="139"/>
      <c r="BE145" s="139"/>
      <c r="BF145" s="139"/>
      <c r="BG145" s="139"/>
      <c r="BH145" s="139"/>
      <c r="BI145" s="139"/>
      <c r="BJ145" s="139"/>
      <c r="BK145" s="139"/>
      <c r="BL145" s="139"/>
      <c r="BM145" s="139"/>
      <c r="BN145" s="139"/>
      <c r="BO145" s="139"/>
      <c r="BP145" s="139"/>
      <c r="BQ145" s="139"/>
      <c r="BR145" s="139"/>
    </row>
    <row r="146" s="162" customFormat="true" ht="45" hidden="false" customHeight="false" outlineLevel="0" collapsed="false">
      <c r="A146" s="153" t="s">
        <v>459</v>
      </c>
      <c r="B146" s="154" t="s">
        <v>1090</v>
      </c>
      <c r="C146" s="155" t="s">
        <v>1293</v>
      </c>
      <c r="D146" s="156"/>
      <c r="E146" s="156"/>
      <c r="F146" s="156"/>
      <c r="G146" s="157"/>
      <c r="H146" s="158" t="s">
        <v>81</v>
      </c>
      <c r="I146" s="159" t="s">
        <v>88</v>
      </c>
      <c r="J146" s="160" t="s">
        <v>81</v>
      </c>
      <c r="K146" s="161" t="s">
        <v>88</v>
      </c>
      <c r="L146" s="154" t="s">
        <v>1294</v>
      </c>
      <c r="M146" s="154"/>
      <c r="N146" s="154"/>
      <c r="O146" s="154"/>
      <c r="P146" s="154"/>
      <c r="Q146" s="154"/>
      <c r="R146" s="154"/>
      <c r="S146" s="154"/>
      <c r="T146" s="154"/>
      <c r="U146" s="154"/>
      <c r="V146" s="154"/>
      <c r="W146" s="154"/>
      <c r="X146" s="154"/>
      <c r="Y146" s="154"/>
      <c r="Z146" s="154"/>
      <c r="AA146" s="154"/>
      <c r="AB146" s="154"/>
      <c r="AC146" s="154"/>
      <c r="AD146" s="154"/>
      <c r="AE146" s="154"/>
      <c r="AF146" s="154"/>
      <c r="AG146" s="154"/>
      <c r="AH146" s="154"/>
      <c r="AI146" s="154"/>
      <c r="AJ146" s="154"/>
      <c r="AK146" s="154"/>
      <c r="AL146" s="154"/>
      <c r="AM146" s="154"/>
      <c r="AN146" s="154"/>
      <c r="AO146" s="154"/>
      <c r="AP146" s="154"/>
      <c r="AQ146" s="154"/>
      <c r="AR146" s="154"/>
      <c r="AS146" s="154"/>
      <c r="AT146" s="154"/>
      <c r="AU146" s="154"/>
      <c r="AV146" s="154"/>
      <c r="AW146" s="154"/>
      <c r="AX146" s="154"/>
      <c r="AY146" s="153"/>
      <c r="AZ146" s="153"/>
      <c r="BA146" s="153"/>
      <c r="BB146" s="153"/>
      <c r="BC146" s="153"/>
      <c r="BD146" s="153"/>
      <c r="BE146" s="153"/>
      <c r="BF146" s="153"/>
      <c r="BG146" s="153"/>
      <c r="BH146" s="153"/>
      <c r="BI146" s="153"/>
      <c r="BJ146" s="153"/>
      <c r="BK146" s="153"/>
      <c r="BL146" s="153"/>
      <c r="BM146" s="153"/>
      <c r="BN146" s="153"/>
      <c r="BO146" s="153"/>
      <c r="BP146" s="153"/>
      <c r="BQ146" s="153"/>
      <c r="BR146" s="153"/>
    </row>
    <row r="147" s="169" customFormat="true" ht="15" hidden="false" customHeight="false" outlineLevel="0" collapsed="false">
      <c r="A147" s="129" t="s">
        <v>461</v>
      </c>
      <c r="B147" s="130" t="s">
        <v>1090</v>
      </c>
      <c r="C147" s="131" t="s">
        <v>1295</v>
      </c>
      <c r="D147" s="163"/>
      <c r="E147" s="163"/>
      <c r="F147" s="163"/>
      <c r="G147" s="164"/>
      <c r="H147" s="165" t="s">
        <v>81</v>
      </c>
      <c r="I147" s="166" t="s">
        <v>88</v>
      </c>
      <c r="J147" s="167" t="s">
        <v>81</v>
      </c>
      <c r="K147" s="168" t="s">
        <v>88</v>
      </c>
      <c r="L147" s="169" t="s">
        <v>1288</v>
      </c>
      <c r="M147" s="138" t="s">
        <v>1289</v>
      </c>
      <c r="N147" s="138" t="s">
        <v>1296</v>
      </c>
      <c r="O147" s="138" t="s">
        <v>1297</v>
      </c>
      <c r="P147" s="138" t="s">
        <v>1298</v>
      </c>
      <c r="Q147" s="138" t="s">
        <v>1299</v>
      </c>
      <c r="R147" s="138" t="s">
        <v>1300</v>
      </c>
      <c r="S147" s="130" t="s">
        <v>1301</v>
      </c>
      <c r="T147" s="130" t="s">
        <v>1302</v>
      </c>
      <c r="U147" s="130"/>
      <c r="V147" s="130"/>
      <c r="W147" s="130"/>
      <c r="X147" s="130"/>
      <c r="Y147" s="130"/>
      <c r="Z147" s="130"/>
      <c r="AA147" s="130"/>
      <c r="AB147" s="130"/>
      <c r="AC147" s="130"/>
      <c r="AD147" s="130"/>
      <c r="AE147" s="130"/>
      <c r="AF147" s="130"/>
      <c r="AG147" s="130"/>
      <c r="AH147" s="130"/>
      <c r="AI147" s="130"/>
      <c r="AJ147" s="130"/>
      <c r="AK147" s="130"/>
      <c r="AL147" s="130"/>
      <c r="AM147" s="130"/>
      <c r="AN147" s="130"/>
      <c r="AO147" s="130"/>
      <c r="AP147" s="130"/>
      <c r="AQ147" s="130"/>
      <c r="AR147" s="130"/>
      <c r="AS147" s="130"/>
      <c r="AT147" s="130"/>
      <c r="AU147" s="130"/>
      <c r="AV147" s="130"/>
      <c r="AW147" s="130"/>
      <c r="AX147" s="130"/>
      <c r="AY147" s="129"/>
      <c r="AZ147" s="129"/>
      <c r="BA147" s="129"/>
      <c r="BB147" s="129"/>
      <c r="BC147" s="129"/>
      <c r="BD147" s="129"/>
      <c r="BE147" s="129"/>
      <c r="BF147" s="129"/>
      <c r="BG147" s="129"/>
      <c r="BH147" s="129"/>
      <c r="BI147" s="129"/>
      <c r="BJ147" s="129"/>
      <c r="BK147" s="129"/>
      <c r="BL147" s="129"/>
      <c r="BM147" s="129"/>
      <c r="BN147" s="129"/>
      <c r="BO147" s="129"/>
      <c r="BP147" s="129"/>
      <c r="BQ147" s="129"/>
      <c r="BR147" s="129"/>
    </row>
    <row r="148" s="75" customFormat="true" ht="15" hidden="false" customHeight="false" outlineLevel="0" collapsed="false">
      <c r="A148" s="141"/>
      <c r="B148" s="142"/>
      <c r="C148" s="143"/>
      <c r="D148" s="144"/>
      <c r="E148" s="144"/>
      <c r="F148" s="144"/>
      <c r="G148" s="145"/>
      <c r="H148" s="146"/>
      <c r="I148" s="147"/>
      <c r="J148" s="148"/>
      <c r="K148" s="149"/>
      <c r="L148" s="150"/>
      <c r="M148" s="150"/>
      <c r="N148" s="150"/>
      <c r="O148" s="150"/>
      <c r="P148" s="150"/>
      <c r="Q148" s="150"/>
      <c r="R148" s="150"/>
      <c r="S148" s="150"/>
      <c r="T148" s="150"/>
      <c r="U148" s="150"/>
      <c r="V148" s="150"/>
      <c r="W148" s="150"/>
      <c r="X148" s="150"/>
      <c r="Y148" s="150"/>
      <c r="Z148" s="150"/>
      <c r="AA148" s="150"/>
      <c r="AB148" s="150"/>
      <c r="AC148" s="150"/>
      <c r="AD148" s="150"/>
      <c r="AE148" s="150"/>
      <c r="AF148" s="150"/>
      <c r="AG148" s="150"/>
      <c r="AH148" s="150"/>
      <c r="AI148" s="150"/>
      <c r="AJ148" s="150"/>
      <c r="AK148" s="150"/>
      <c r="AL148" s="150"/>
      <c r="AM148" s="150"/>
      <c r="AN148" s="150"/>
      <c r="AO148" s="150"/>
      <c r="AP148" s="150"/>
      <c r="AQ148" s="150"/>
      <c r="AR148" s="150"/>
      <c r="AS148" s="150"/>
      <c r="AT148" s="150"/>
      <c r="AU148" s="150"/>
      <c r="AV148" s="150"/>
      <c r="AW148" s="150"/>
      <c r="AX148" s="150"/>
      <c r="AY148" s="151"/>
      <c r="AZ148" s="151"/>
      <c r="BA148" s="151"/>
      <c r="BB148" s="151"/>
      <c r="BC148" s="151"/>
      <c r="BD148" s="151"/>
      <c r="BE148" s="151"/>
      <c r="BF148" s="151"/>
      <c r="BG148" s="151"/>
      <c r="BH148" s="151"/>
      <c r="BI148" s="151"/>
      <c r="BJ148" s="151"/>
      <c r="BK148" s="151"/>
      <c r="BL148" s="151"/>
      <c r="BM148" s="151"/>
      <c r="BN148" s="151"/>
      <c r="BO148" s="151"/>
      <c r="BP148" s="151"/>
      <c r="BQ148" s="151"/>
      <c r="BR148" s="151"/>
    </row>
    <row r="149" s="75" customFormat="true" ht="15" hidden="false" customHeight="false" outlineLevel="0" collapsed="false">
      <c r="A149" s="141" t="s">
        <v>473</v>
      </c>
      <c r="B149" s="142" t="s">
        <v>1152</v>
      </c>
      <c r="C149" s="143" t="s">
        <v>1303</v>
      </c>
      <c r="D149" s="144" t="s">
        <v>1153</v>
      </c>
      <c r="E149" s="144" t="s">
        <v>1153</v>
      </c>
      <c r="F149" s="144" t="s">
        <v>1089</v>
      </c>
      <c r="G149" s="145" t="s">
        <v>1153</v>
      </c>
      <c r="H149" s="146" t="s">
        <v>475</v>
      </c>
      <c r="I149" s="147" t="s">
        <v>82</v>
      </c>
      <c r="J149" s="148" t="s">
        <v>475</v>
      </c>
      <c r="K149" s="149" t="s">
        <v>82</v>
      </c>
      <c r="L149" s="150" t="s">
        <v>1304</v>
      </c>
      <c r="M149" s="150"/>
      <c r="N149" s="150"/>
      <c r="O149" s="150"/>
      <c r="P149" s="150"/>
      <c r="Q149" s="150"/>
      <c r="R149" s="150"/>
      <c r="S149" s="150"/>
      <c r="T149" s="150"/>
      <c r="U149" s="150"/>
      <c r="V149" s="150"/>
      <c r="W149" s="150"/>
      <c r="X149" s="150"/>
      <c r="Y149" s="150"/>
      <c r="Z149" s="150"/>
      <c r="AA149" s="150"/>
      <c r="AB149" s="150"/>
      <c r="AC149" s="150"/>
      <c r="AD149" s="150"/>
      <c r="AE149" s="150"/>
      <c r="AF149" s="150"/>
      <c r="AG149" s="150"/>
      <c r="AH149" s="150"/>
      <c r="AI149" s="150"/>
      <c r="AJ149" s="150"/>
      <c r="AK149" s="150"/>
      <c r="AL149" s="150"/>
      <c r="AM149" s="150"/>
      <c r="AN149" s="150"/>
      <c r="AO149" s="150"/>
      <c r="AP149" s="150"/>
      <c r="AQ149" s="150"/>
      <c r="AR149" s="150"/>
      <c r="AS149" s="150"/>
      <c r="AT149" s="150"/>
      <c r="AU149" s="150"/>
      <c r="AV149" s="150"/>
      <c r="AW149" s="150"/>
      <c r="AX149" s="150"/>
      <c r="AY149" s="151"/>
      <c r="AZ149" s="151"/>
      <c r="BA149" s="151"/>
      <c r="BB149" s="151"/>
      <c r="BC149" s="151"/>
      <c r="BD149" s="151"/>
      <c r="BE149" s="151"/>
      <c r="BF149" s="151"/>
      <c r="BG149" s="151"/>
      <c r="BH149" s="151"/>
      <c r="BI149" s="151"/>
      <c r="BJ149" s="151"/>
      <c r="BK149" s="151"/>
      <c r="BL149" s="151"/>
      <c r="BM149" s="151"/>
      <c r="BN149" s="151"/>
      <c r="BO149" s="151"/>
      <c r="BP149" s="151"/>
      <c r="BQ149" s="151"/>
      <c r="BR149" s="151"/>
    </row>
    <row r="150" s="75" customFormat="true" ht="30" hidden="false" customHeight="false" outlineLevel="0" collapsed="false">
      <c r="A150" s="141" t="s">
        <v>465</v>
      </c>
      <c r="B150" s="142" t="s">
        <v>1152</v>
      </c>
      <c r="C150" s="143" t="s">
        <v>1305</v>
      </c>
      <c r="D150" s="144" t="s">
        <v>1153</v>
      </c>
      <c r="E150" s="144" t="s">
        <v>1153</v>
      </c>
      <c r="F150" s="144" t="s">
        <v>1089</v>
      </c>
      <c r="G150" s="145" t="s">
        <v>1153</v>
      </c>
      <c r="H150" s="146" t="s">
        <v>467</v>
      </c>
      <c r="I150" s="147" t="s">
        <v>82</v>
      </c>
      <c r="J150" s="148" t="s">
        <v>467</v>
      </c>
      <c r="K150" s="149" t="s">
        <v>82</v>
      </c>
      <c r="L150" s="150" t="s">
        <v>1306</v>
      </c>
      <c r="M150" s="150"/>
      <c r="N150" s="150"/>
      <c r="O150" s="150"/>
      <c r="P150" s="150"/>
      <c r="Q150" s="150"/>
      <c r="R150" s="150"/>
      <c r="S150" s="150"/>
      <c r="T150" s="150"/>
      <c r="U150" s="150"/>
      <c r="V150" s="150"/>
      <c r="W150" s="150"/>
      <c r="X150" s="150"/>
      <c r="Y150" s="150"/>
      <c r="Z150" s="150"/>
      <c r="AA150" s="150"/>
      <c r="AB150" s="150"/>
      <c r="AC150" s="150"/>
      <c r="AD150" s="150"/>
      <c r="AE150" s="150"/>
      <c r="AF150" s="150"/>
      <c r="AG150" s="150"/>
      <c r="AH150" s="150"/>
      <c r="AI150" s="150"/>
      <c r="AJ150" s="150"/>
      <c r="AK150" s="150"/>
      <c r="AL150" s="150"/>
      <c r="AM150" s="150"/>
      <c r="AN150" s="150"/>
      <c r="AO150" s="150"/>
      <c r="AP150" s="150"/>
      <c r="AQ150" s="150"/>
      <c r="AR150" s="150"/>
      <c r="AS150" s="150"/>
      <c r="AT150" s="150"/>
      <c r="AU150" s="150"/>
      <c r="AV150" s="150"/>
      <c r="AW150" s="150"/>
      <c r="AX150" s="150"/>
      <c r="AY150" s="151"/>
      <c r="AZ150" s="151"/>
      <c r="BA150" s="151"/>
      <c r="BB150" s="151"/>
      <c r="BC150" s="151"/>
      <c r="BD150" s="151"/>
      <c r="BE150" s="151"/>
      <c r="BF150" s="151"/>
      <c r="BG150" s="151"/>
      <c r="BH150" s="151"/>
      <c r="BI150" s="151"/>
      <c r="BJ150" s="151"/>
      <c r="BK150" s="151"/>
      <c r="BL150" s="151"/>
      <c r="BM150" s="151"/>
      <c r="BN150" s="151"/>
      <c r="BO150" s="151"/>
      <c r="BP150" s="151"/>
      <c r="BQ150" s="151"/>
      <c r="BR150" s="151"/>
    </row>
    <row r="151" s="75" customFormat="true" ht="30" hidden="false" customHeight="false" outlineLevel="0" collapsed="false">
      <c r="A151" s="141" t="s">
        <v>468</v>
      </c>
      <c r="B151" s="142" t="s">
        <v>1152</v>
      </c>
      <c r="C151" s="143" t="s">
        <v>1307</v>
      </c>
      <c r="D151" s="144" t="s">
        <v>1153</v>
      </c>
      <c r="E151" s="144" t="s">
        <v>1153</v>
      </c>
      <c r="F151" s="144" t="s">
        <v>1089</v>
      </c>
      <c r="G151" s="145" t="s">
        <v>1153</v>
      </c>
      <c r="H151" s="146" t="s">
        <v>467</v>
      </c>
      <c r="I151" s="147" t="s">
        <v>82</v>
      </c>
      <c r="J151" s="148" t="s">
        <v>467</v>
      </c>
      <c r="K151" s="149" t="s">
        <v>82</v>
      </c>
      <c r="L151" s="150" t="s">
        <v>1306</v>
      </c>
      <c r="M151" s="150"/>
      <c r="N151" s="150"/>
      <c r="O151" s="150"/>
      <c r="P151" s="150"/>
      <c r="Q151" s="150"/>
      <c r="R151" s="150"/>
      <c r="S151" s="150"/>
      <c r="T151" s="150"/>
      <c r="U151" s="150"/>
      <c r="V151" s="150"/>
      <c r="W151" s="150"/>
      <c r="X151" s="150"/>
      <c r="Y151" s="150"/>
      <c r="Z151" s="150"/>
      <c r="AA151" s="150"/>
      <c r="AB151" s="150"/>
      <c r="AC151" s="150"/>
      <c r="AD151" s="150"/>
      <c r="AE151" s="150"/>
      <c r="AF151" s="150"/>
      <c r="AG151" s="150"/>
      <c r="AH151" s="150"/>
      <c r="AI151" s="150"/>
      <c r="AJ151" s="150"/>
      <c r="AK151" s="150"/>
      <c r="AL151" s="150"/>
      <c r="AM151" s="150"/>
      <c r="AN151" s="150"/>
      <c r="AO151" s="150"/>
      <c r="AP151" s="150"/>
      <c r="AQ151" s="150"/>
      <c r="AR151" s="150"/>
      <c r="AS151" s="150"/>
      <c r="AT151" s="150"/>
      <c r="AU151" s="150"/>
      <c r="AV151" s="150"/>
      <c r="AW151" s="150"/>
      <c r="AX151" s="150"/>
      <c r="AY151" s="151"/>
      <c r="AZ151" s="151"/>
      <c r="BA151" s="151"/>
      <c r="BB151" s="151"/>
      <c r="BC151" s="151"/>
      <c r="BD151" s="151"/>
      <c r="BE151" s="151"/>
      <c r="BF151" s="151"/>
      <c r="BG151" s="151"/>
      <c r="BH151" s="151"/>
      <c r="BI151" s="151"/>
      <c r="BJ151" s="151"/>
      <c r="BK151" s="151"/>
      <c r="BL151" s="151"/>
      <c r="BM151" s="151"/>
      <c r="BN151" s="151"/>
      <c r="BO151" s="151"/>
      <c r="BP151" s="151"/>
      <c r="BQ151" s="151"/>
      <c r="BR151" s="151"/>
    </row>
    <row r="152" s="75" customFormat="true" ht="15" hidden="false" customHeight="false" outlineLevel="0" collapsed="false">
      <c r="A152" s="141" t="s">
        <v>476</v>
      </c>
      <c r="B152" s="142" t="s">
        <v>1152</v>
      </c>
      <c r="C152" s="143" t="s">
        <v>1308</v>
      </c>
      <c r="D152" s="144" t="s">
        <v>1153</v>
      </c>
      <c r="E152" s="144" t="s">
        <v>1153</v>
      </c>
      <c r="F152" s="144" t="s">
        <v>1089</v>
      </c>
      <c r="G152" s="145" t="s">
        <v>1153</v>
      </c>
      <c r="H152" s="146" t="s">
        <v>478</v>
      </c>
      <c r="I152" s="147" t="s">
        <v>82</v>
      </c>
      <c r="J152" s="148" t="s">
        <v>478</v>
      </c>
      <c r="K152" s="149" t="s">
        <v>82</v>
      </c>
      <c r="L152" s="150" t="s">
        <v>1239</v>
      </c>
      <c r="M152" s="150"/>
      <c r="N152" s="150"/>
      <c r="O152" s="150"/>
      <c r="P152" s="150"/>
      <c r="Q152" s="150"/>
      <c r="R152" s="150"/>
      <c r="S152" s="150"/>
      <c r="T152" s="150"/>
      <c r="U152" s="150"/>
      <c r="V152" s="150"/>
      <c r="W152" s="150"/>
      <c r="X152" s="150"/>
      <c r="Y152" s="150"/>
      <c r="Z152" s="150"/>
      <c r="AA152" s="150"/>
      <c r="AB152" s="150"/>
      <c r="AC152" s="150"/>
      <c r="AD152" s="150"/>
      <c r="AE152" s="150"/>
      <c r="AF152" s="150"/>
      <c r="AG152" s="150"/>
      <c r="AH152" s="150"/>
      <c r="AI152" s="150"/>
      <c r="AJ152" s="150"/>
      <c r="AK152" s="150"/>
      <c r="AL152" s="150"/>
      <c r="AM152" s="150"/>
      <c r="AN152" s="150"/>
      <c r="AO152" s="150"/>
      <c r="AP152" s="150"/>
      <c r="AQ152" s="150"/>
      <c r="AR152" s="150"/>
      <c r="AS152" s="150"/>
      <c r="AT152" s="150"/>
      <c r="AU152" s="150"/>
      <c r="AV152" s="150"/>
      <c r="AW152" s="150"/>
      <c r="AX152" s="150"/>
      <c r="AY152" s="151"/>
      <c r="AZ152" s="151"/>
      <c r="BA152" s="151"/>
      <c r="BB152" s="151"/>
      <c r="BC152" s="151"/>
      <c r="BD152" s="151"/>
      <c r="BE152" s="151"/>
      <c r="BF152" s="151"/>
      <c r="BG152" s="151"/>
      <c r="BH152" s="151"/>
      <c r="BI152" s="151"/>
      <c r="BJ152" s="151"/>
      <c r="BK152" s="151"/>
      <c r="BL152" s="151"/>
      <c r="BM152" s="151"/>
      <c r="BN152" s="151"/>
      <c r="BO152" s="151"/>
      <c r="BP152" s="151"/>
      <c r="BQ152" s="151"/>
      <c r="BR152" s="151"/>
    </row>
    <row r="153" s="75" customFormat="true" ht="15" hidden="false" customHeight="false" outlineLevel="0" collapsed="false">
      <c r="A153" s="141" t="s">
        <v>479</v>
      </c>
      <c r="B153" s="142" t="s">
        <v>1152</v>
      </c>
      <c r="C153" s="143" t="s">
        <v>1309</v>
      </c>
      <c r="D153" s="144" t="s">
        <v>1153</v>
      </c>
      <c r="E153" s="144" t="s">
        <v>1153</v>
      </c>
      <c r="F153" s="144" t="s">
        <v>1089</v>
      </c>
      <c r="G153" s="145" t="s">
        <v>1153</v>
      </c>
      <c r="H153" s="146" t="s">
        <v>478</v>
      </c>
      <c r="I153" s="147" t="s">
        <v>82</v>
      </c>
      <c r="J153" s="148" t="s">
        <v>478</v>
      </c>
      <c r="K153" s="149" t="s">
        <v>82</v>
      </c>
      <c r="L153" s="150" t="s">
        <v>1239</v>
      </c>
      <c r="M153" s="150"/>
      <c r="N153" s="150"/>
      <c r="O153" s="150"/>
      <c r="P153" s="150"/>
      <c r="Q153" s="150"/>
      <c r="R153" s="150"/>
      <c r="S153" s="150"/>
      <c r="T153" s="150"/>
      <c r="U153" s="150"/>
      <c r="V153" s="150"/>
      <c r="W153" s="150"/>
      <c r="X153" s="150"/>
      <c r="Y153" s="150"/>
      <c r="Z153" s="150"/>
      <c r="AA153" s="150"/>
      <c r="AB153" s="150"/>
      <c r="AC153" s="150"/>
      <c r="AD153" s="150"/>
      <c r="AE153" s="150"/>
      <c r="AF153" s="150"/>
      <c r="AG153" s="150"/>
      <c r="AH153" s="150"/>
      <c r="AI153" s="150"/>
      <c r="AJ153" s="150"/>
      <c r="AK153" s="150"/>
      <c r="AL153" s="150"/>
      <c r="AM153" s="150"/>
      <c r="AN153" s="150"/>
      <c r="AO153" s="150"/>
      <c r="AP153" s="150"/>
      <c r="AQ153" s="150"/>
      <c r="AR153" s="150"/>
      <c r="AS153" s="150"/>
      <c r="AT153" s="150"/>
      <c r="AU153" s="150"/>
      <c r="AV153" s="150"/>
      <c r="AW153" s="150"/>
      <c r="AX153" s="150"/>
      <c r="AY153" s="151"/>
      <c r="AZ153" s="151"/>
      <c r="BA153" s="151"/>
      <c r="BB153" s="151"/>
      <c r="BC153" s="151"/>
      <c r="BD153" s="151"/>
      <c r="BE153" s="151"/>
      <c r="BF153" s="151"/>
      <c r="BG153" s="151"/>
      <c r="BH153" s="151"/>
      <c r="BI153" s="151"/>
      <c r="BJ153" s="151"/>
      <c r="BK153" s="151"/>
      <c r="BL153" s="151"/>
      <c r="BM153" s="151"/>
      <c r="BN153" s="151"/>
      <c r="BO153" s="151"/>
      <c r="BP153" s="151"/>
      <c r="BQ153" s="151"/>
      <c r="BR153" s="151"/>
    </row>
    <row r="154" s="75" customFormat="true" ht="30" hidden="false" customHeight="false" outlineLevel="0" collapsed="false">
      <c r="A154" s="141" t="s">
        <v>481</v>
      </c>
      <c r="B154" s="142" t="s">
        <v>1152</v>
      </c>
      <c r="C154" s="143" t="s">
        <v>1310</v>
      </c>
      <c r="D154" s="144" t="s">
        <v>1153</v>
      </c>
      <c r="E154" s="144" t="s">
        <v>1153</v>
      </c>
      <c r="F154" s="144" t="s">
        <v>1089</v>
      </c>
      <c r="G154" s="145" t="s">
        <v>1153</v>
      </c>
      <c r="H154" s="146" t="s">
        <v>483</v>
      </c>
      <c r="I154" s="147" t="s">
        <v>82</v>
      </c>
      <c r="J154" s="148" t="s">
        <v>483</v>
      </c>
      <c r="K154" s="149" t="s">
        <v>82</v>
      </c>
      <c r="L154" s="150" t="s">
        <v>1311</v>
      </c>
      <c r="M154" s="150"/>
      <c r="N154" s="150"/>
      <c r="O154" s="150"/>
      <c r="P154" s="150"/>
      <c r="Q154" s="150"/>
      <c r="R154" s="150"/>
      <c r="S154" s="150"/>
      <c r="T154" s="150"/>
      <c r="U154" s="150"/>
      <c r="V154" s="150"/>
      <c r="W154" s="150"/>
      <c r="X154" s="150"/>
      <c r="Y154" s="150"/>
      <c r="Z154" s="150"/>
      <c r="AA154" s="150"/>
      <c r="AB154" s="150"/>
      <c r="AC154" s="150"/>
      <c r="AD154" s="150"/>
      <c r="AE154" s="150"/>
      <c r="AF154" s="150"/>
      <c r="AG154" s="150"/>
      <c r="AH154" s="150"/>
      <c r="AI154" s="150"/>
      <c r="AJ154" s="150"/>
      <c r="AK154" s="150"/>
      <c r="AL154" s="150"/>
      <c r="AM154" s="150"/>
      <c r="AN154" s="150"/>
      <c r="AO154" s="150"/>
      <c r="AP154" s="150"/>
      <c r="AQ154" s="150"/>
      <c r="AR154" s="150"/>
      <c r="AS154" s="150"/>
      <c r="AT154" s="150"/>
      <c r="AU154" s="150"/>
      <c r="AV154" s="150"/>
      <c r="AW154" s="150"/>
      <c r="AX154" s="150"/>
      <c r="AY154" s="151"/>
      <c r="AZ154" s="151"/>
      <c r="BA154" s="151"/>
      <c r="BB154" s="151"/>
      <c r="BC154" s="151"/>
      <c r="BD154" s="151"/>
      <c r="BE154" s="151"/>
      <c r="BF154" s="151"/>
      <c r="BG154" s="151"/>
      <c r="BH154" s="151"/>
      <c r="BI154" s="151"/>
      <c r="BJ154" s="151"/>
      <c r="BK154" s="151"/>
      <c r="BL154" s="151"/>
      <c r="BM154" s="151"/>
      <c r="BN154" s="151"/>
      <c r="BO154" s="151"/>
      <c r="BP154" s="151"/>
      <c r="BQ154" s="151"/>
      <c r="BR154" s="151"/>
    </row>
    <row r="155" s="75" customFormat="true" ht="15" hidden="false" customHeight="false" outlineLevel="0" collapsed="false">
      <c r="A155" s="141"/>
      <c r="B155" s="142"/>
      <c r="C155" s="143"/>
      <c r="D155" s="144"/>
      <c r="E155" s="144"/>
      <c r="F155" s="144"/>
      <c r="G155" s="145"/>
      <c r="H155" s="146"/>
      <c r="I155" s="147"/>
      <c r="J155" s="148"/>
      <c r="K155" s="149"/>
      <c r="L155" s="150"/>
      <c r="M155" s="150"/>
      <c r="N155" s="150"/>
      <c r="O155" s="150"/>
      <c r="P155" s="150"/>
      <c r="Q155" s="150"/>
      <c r="R155" s="150"/>
      <c r="S155" s="150"/>
      <c r="T155" s="150"/>
      <c r="U155" s="150"/>
      <c r="V155" s="150"/>
      <c r="W155" s="150"/>
      <c r="X155" s="150"/>
      <c r="Y155" s="150"/>
      <c r="Z155" s="150"/>
      <c r="AA155" s="150"/>
      <c r="AB155" s="150"/>
      <c r="AC155" s="150"/>
      <c r="AD155" s="150"/>
      <c r="AE155" s="150"/>
      <c r="AF155" s="150"/>
      <c r="AG155" s="150"/>
      <c r="AH155" s="150"/>
      <c r="AI155" s="150"/>
      <c r="AJ155" s="150"/>
      <c r="AK155" s="150"/>
      <c r="AL155" s="150"/>
      <c r="AM155" s="150"/>
      <c r="AN155" s="150"/>
      <c r="AO155" s="150"/>
      <c r="AP155" s="150"/>
      <c r="AQ155" s="150"/>
      <c r="AR155" s="150"/>
      <c r="AS155" s="150"/>
      <c r="AT155" s="150"/>
      <c r="AU155" s="150"/>
      <c r="AV155" s="150"/>
      <c r="AW155" s="150"/>
      <c r="AX155" s="150"/>
      <c r="AY155" s="151"/>
      <c r="AZ155" s="151"/>
      <c r="BA155" s="151"/>
      <c r="BB155" s="151"/>
      <c r="BC155" s="151"/>
      <c r="BD155" s="151"/>
      <c r="BE155" s="151"/>
      <c r="BF155" s="151"/>
      <c r="BG155" s="151"/>
      <c r="BH155" s="151"/>
      <c r="BI155" s="151"/>
      <c r="BJ155" s="151"/>
      <c r="BK155" s="151"/>
      <c r="BL155" s="151"/>
      <c r="BM155" s="151"/>
      <c r="BN155" s="151"/>
      <c r="BO155" s="151"/>
      <c r="BP155" s="151"/>
      <c r="BQ155" s="151"/>
      <c r="BR155" s="151"/>
    </row>
    <row r="156" s="75" customFormat="true" ht="30" hidden="false" customHeight="false" outlineLevel="0" collapsed="false">
      <c r="A156" s="141" t="s">
        <v>484</v>
      </c>
      <c r="B156" s="142" t="s">
        <v>1152</v>
      </c>
      <c r="C156" s="143" t="s">
        <v>1312</v>
      </c>
      <c r="D156" s="144" t="s">
        <v>1153</v>
      </c>
      <c r="E156" s="144" t="s">
        <v>1153</v>
      </c>
      <c r="F156" s="144" t="s">
        <v>1089</v>
      </c>
      <c r="G156" s="145" t="s">
        <v>1153</v>
      </c>
      <c r="H156" s="146" t="s">
        <v>231</v>
      </c>
      <c r="I156" s="147" t="s">
        <v>82</v>
      </c>
      <c r="J156" s="148" t="s">
        <v>231</v>
      </c>
      <c r="K156" s="149" t="s">
        <v>82</v>
      </c>
      <c r="L156" s="150" t="s">
        <v>1313</v>
      </c>
      <c r="M156" s="150"/>
      <c r="N156" s="150"/>
      <c r="O156" s="150"/>
      <c r="P156" s="150"/>
      <c r="Q156" s="150"/>
      <c r="R156" s="150"/>
      <c r="S156" s="150"/>
      <c r="T156" s="150"/>
      <c r="U156" s="150"/>
      <c r="V156" s="150"/>
      <c r="W156" s="150"/>
      <c r="X156" s="150"/>
      <c r="Y156" s="150"/>
      <c r="Z156" s="150"/>
      <c r="AA156" s="150"/>
      <c r="AB156" s="150"/>
      <c r="AC156" s="150"/>
      <c r="AD156" s="150"/>
      <c r="AE156" s="150"/>
      <c r="AF156" s="150"/>
      <c r="AG156" s="150"/>
      <c r="AH156" s="150"/>
      <c r="AI156" s="150"/>
      <c r="AJ156" s="150"/>
      <c r="AK156" s="150"/>
      <c r="AL156" s="150"/>
      <c r="AM156" s="150"/>
      <c r="AN156" s="150"/>
      <c r="AO156" s="150"/>
      <c r="AP156" s="150"/>
      <c r="AQ156" s="150"/>
      <c r="AR156" s="150"/>
      <c r="AS156" s="150"/>
      <c r="AT156" s="150"/>
      <c r="AU156" s="150"/>
      <c r="AV156" s="150"/>
      <c r="AW156" s="150"/>
      <c r="AX156" s="150"/>
      <c r="AY156" s="151"/>
      <c r="AZ156" s="151"/>
      <c r="BA156" s="151"/>
      <c r="BB156" s="151"/>
      <c r="BC156" s="151"/>
      <c r="BD156" s="151"/>
      <c r="BE156" s="151"/>
      <c r="BF156" s="151"/>
      <c r="BG156" s="151"/>
      <c r="BH156" s="151"/>
      <c r="BI156" s="151"/>
      <c r="BJ156" s="151"/>
      <c r="BK156" s="151"/>
      <c r="BL156" s="151"/>
      <c r="BM156" s="151"/>
      <c r="BN156" s="151"/>
      <c r="BO156" s="151"/>
      <c r="BP156" s="151"/>
      <c r="BQ156" s="151"/>
      <c r="BR156" s="151"/>
    </row>
    <row r="157" s="75" customFormat="true" ht="15" hidden="false" customHeight="false" outlineLevel="0" collapsed="false">
      <c r="A157" s="141"/>
      <c r="B157" s="142"/>
      <c r="C157" s="143"/>
      <c r="D157" s="144"/>
      <c r="E157" s="144"/>
      <c r="F157" s="144"/>
      <c r="G157" s="145"/>
      <c r="H157" s="146"/>
      <c r="I157" s="147"/>
      <c r="J157" s="148"/>
      <c r="K157" s="149"/>
      <c r="L157" s="150"/>
      <c r="M157" s="150"/>
      <c r="N157" s="150"/>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1"/>
      <c r="AZ157" s="151"/>
      <c r="BA157" s="151"/>
      <c r="BB157" s="151"/>
      <c r="BC157" s="151"/>
      <c r="BD157" s="151"/>
      <c r="BE157" s="151"/>
      <c r="BF157" s="151"/>
      <c r="BG157" s="151"/>
      <c r="BH157" s="151"/>
      <c r="BI157" s="151"/>
      <c r="BJ157" s="151"/>
      <c r="BK157" s="151"/>
      <c r="BL157" s="151"/>
      <c r="BM157" s="151"/>
      <c r="BN157" s="151"/>
      <c r="BO157" s="151"/>
      <c r="BP157" s="151"/>
      <c r="BQ157" s="151"/>
      <c r="BR157" s="151"/>
    </row>
    <row r="158" s="140" customFormat="true" ht="30" hidden="false" customHeight="false" outlineLevel="0" collapsed="false">
      <c r="A158" s="129" t="s">
        <v>495</v>
      </c>
      <c r="B158" s="130" t="s">
        <v>1118</v>
      </c>
      <c r="C158" s="131" t="s">
        <v>496</v>
      </c>
      <c r="D158" s="132"/>
      <c r="E158" s="132"/>
      <c r="F158" s="132"/>
      <c r="G158" s="133"/>
      <c r="H158" s="134" t="s">
        <v>1099</v>
      </c>
      <c r="I158" s="135" t="s">
        <v>88</v>
      </c>
      <c r="J158" s="136" t="s">
        <v>81</v>
      </c>
      <c r="K158" s="137" t="s">
        <v>88</v>
      </c>
      <c r="L158" s="138"/>
      <c r="M158" s="138"/>
      <c r="N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AX158" s="138"/>
      <c r="AY158" s="139"/>
      <c r="AZ158" s="139"/>
      <c r="BA158" s="139"/>
      <c r="BB158" s="139"/>
      <c r="BC158" s="139"/>
      <c r="BD158" s="139"/>
      <c r="BE158" s="139"/>
      <c r="BF158" s="139"/>
      <c r="BG158" s="139"/>
      <c r="BH158" s="139"/>
      <c r="BI158" s="139"/>
      <c r="BJ158" s="139"/>
      <c r="BK158" s="139"/>
      <c r="BL158" s="139"/>
      <c r="BM158" s="139"/>
      <c r="BN158" s="139"/>
      <c r="BO158" s="139"/>
      <c r="BP158" s="139"/>
      <c r="BQ158" s="139"/>
      <c r="BR158" s="139"/>
    </row>
    <row r="159" s="140" customFormat="true" ht="30" hidden="false" customHeight="false" outlineLevel="0" collapsed="false">
      <c r="A159" s="129" t="s">
        <v>497</v>
      </c>
      <c r="B159" s="130" t="s">
        <v>1118</v>
      </c>
      <c r="C159" s="131" t="s">
        <v>498</v>
      </c>
      <c r="D159" s="132"/>
      <c r="E159" s="132"/>
      <c r="F159" s="132"/>
      <c r="G159" s="133"/>
      <c r="H159" s="134" t="s">
        <v>1099</v>
      </c>
      <c r="I159" s="135" t="s">
        <v>88</v>
      </c>
      <c r="J159" s="136" t="s">
        <v>81</v>
      </c>
      <c r="K159" s="137" t="s">
        <v>88</v>
      </c>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9"/>
      <c r="AZ159" s="139"/>
      <c r="BA159" s="139"/>
      <c r="BB159" s="139"/>
      <c r="BC159" s="139"/>
      <c r="BD159" s="139"/>
      <c r="BE159" s="139"/>
      <c r="BF159" s="139"/>
      <c r="BG159" s="139"/>
      <c r="BH159" s="139"/>
      <c r="BI159" s="139"/>
      <c r="BJ159" s="139"/>
      <c r="BK159" s="139"/>
      <c r="BL159" s="139"/>
      <c r="BM159" s="139"/>
      <c r="BN159" s="139"/>
      <c r="BO159" s="139"/>
      <c r="BP159" s="139"/>
      <c r="BQ159" s="139"/>
      <c r="BR159" s="139"/>
    </row>
    <row r="160" s="140" customFormat="true" ht="30" hidden="false" customHeight="false" outlineLevel="0" collapsed="false">
      <c r="A160" s="129" t="s">
        <v>499</v>
      </c>
      <c r="B160" s="130" t="s">
        <v>1118</v>
      </c>
      <c r="C160" s="131" t="s">
        <v>500</v>
      </c>
      <c r="D160" s="132"/>
      <c r="E160" s="132"/>
      <c r="F160" s="132"/>
      <c r="G160" s="133"/>
      <c r="H160" s="134" t="s">
        <v>1099</v>
      </c>
      <c r="I160" s="135" t="s">
        <v>88</v>
      </c>
      <c r="J160" s="136" t="s">
        <v>81</v>
      </c>
      <c r="K160" s="137" t="s">
        <v>88</v>
      </c>
      <c r="L160" s="138"/>
      <c r="M160" s="138"/>
      <c r="N160" s="138"/>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AX160" s="138"/>
      <c r="AY160" s="139"/>
      <c r="AZ160" s="139"/>
      <c r="BA160" s="139"/>
      <c r="BB160" s="139"/>
      <c r="BC160" s="139"/>
      <c r="BD160" s="139"/>
      <c r="BE160" s="139"/>
      <c r="BF160" s="139"/>
      <c r="BG160" s="139"/>
      <c r="BH160" s="139"/>
      <c r="BI160" s="139"/>
      <c r="BJ160" s="139"/>
      <c r="BK160" s="139"/>
      <c r="BL160" s="139"/>
      <c r="BM160" s="139"/>
      <c r="BN160" s="139"/>
      <c r="BO160" s="139"/>
      <c r="BP160" s="139"/>
      <c r="BQ160" s="139"/>
      <c r="BR160" s="139"/>
    </row>
    <row r="161" s="140" customFormat="true" ht="30" hidden="false" customHeight="false" outlineLevel="0" collapsed="false">
      <c r="A161" s="129" t="s">
        <v>501</v>
      </c>
      <c r="B161" s="130" t="s">
        <v>1118</v>
      </c>
      <c r="C161" s="131" t="s">
        <v>502</v>
      </c>
      <c r="D161" s="132"/>
      <c r="E161" s="132"/>
      <c r="F161" s="132"/>
      <c r="G161" s="133"/>
      <c r="H161" s="134" t="s">
        <v>1099</v>
      </c>
      <c r="I161" s="135" t="s">
        <v>88</v>
      </c>
      <c r="J161" s="136" t="s">
        <v>81</v>
      </c>
      <c r="K161" s="137" t="s">
        <v>88</v>
      </c>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138"/>
      <c r="AT161" s="138"/>
      <c r="AU161" s="138"/>
      <c r="AV161" s="138"/>
      <c r="AW161" s="138"/>
      <c r="AX161" s="138"/>
      <c r="AY161" s="139"/>
      <c r="AZ161" s="139"/>
      <c r="BA161" s="139"/>
      <c r="BB161" s="139"/>
      <c r="BC161" s="139"/>
      <c r="BD161" s="139"/>
      <c r="BE161" s="139"/>
      <c r="BF161" s="139"/>
      <c r="BG161" s="139"/>
      <c r="BH161" s="139"/>
      <c r="BI161" s="139"/>
      <c r="BJ161" s="139"/>
      <c r="BK161" s="139"/>
      <c r="BL161" s="139"/>
      <c r="BM161" s="139"/>
      <c r="BN161" s="139"/>
      <c r="BO161" s="139"/>
      <c r="BP161" s="139"/>
      <c r="BQ161" s="139"/>
      <c r="BR161" s="139"/>
    </row>
    <row r="162" s="140" customFormat="true" ht="30" hidden="false" customHeight="false" outlineLevel="0" collapsed="false">
      <c r="A162" s="129" t="s">
        <v>503</v>
      </c>
      <c r="B162" s="130" t="s">
        <v>1118</v>
      </c>
      <c r="C162" s="131" t="s">
        <v>504</v>
      </c>
      <c r="D162" s="132"/>
      <c r="E162" s="132"/>
      <c r="F162" s="132"/>
      <c r="G162" s="133"/>
      <c r="H162" s="134" t="s">
        <v>1099</v>
      </c>
      <c r="I162" s="135" t="s">
        <v>88</v>
      </c>
      <c r="J162" s="136" t="s">
        <v>81</v>
      </c>
      <c r="K162" s="137" t="s">
        <v>88</v>
      </c>
      <c r="L162" s="138"/>
      <c r="M162" s="138"/>
      <c r="N162" s="138"/>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AX162" s="138"/>
      <c r="AY162" s="139"/>
      <c r="AZ162" s="139"/>
      <c r="BA162" s="139"/>
      <c r="BB162" s="139"/>
      <c r="BC162" s="139"/>
      <c r="BD162" s="139"/>
      <c r="BE162" s="139"/>
      <c r="BF162" s="139"/>
      <c r="BG162" s="139"/>
      <c r="BH162" s="139"/>
      <c r="BI162" s="139"/>
      <c r="BJ162" s="139"/>
      <c r="BK162" s="139"/>
      <c r="BL162" s="139"/>
      <c r="BM162" s="139"/>
      <c r="BN162" s="139"/>
      <c r="BO162" s="139"/>
      <c r="BP162" s="139"/>
      <c r="BQ162" s="139"/>
      <c r="BR162" s="139"/>
    </row>
    <row r="163" s="140" customFormat="true" ht="30" hidden="false" customHeight="false" outlineLevel="0" collapsed="false">
      <c r="A163" s="129" t="s">
        <v>505</v>
      </c>
      <c r="B163" s="130" t="s">
        <v>1118</v>
      </c>
      <c r="C163" s="131" t="s">
        <v>506</v>
      </c>
      <c r="D163" s="132"/>
      <c r="E163" s="132"/>
      <c r="F163" s="132"/>
      <c r="G163" s="133"/>
      <c r="H163" s="134" t="s">
        <v>1099</v>
      </c>
      <c r="I163" s="135" t="s">
        <v>88</v>
      </c>
      <c r="J163" s="136" t="s">
        <v>81</v>
      </c>
      <c r="K163" s="137" t="s">
        <v>88</v>
      </c>
      <c r="L163" s="138"/>
      <c r="M163" s="138"/>
      <c r="N163" s="138"/>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AX163" s="138"/>
      <c r="AY163" s="139"/>
      <c r="AZ163" s="139"/>
      <c r="BA163" s="139"/>
      <c r="BB163" s="139"/>
      <c r="BC163" s="139"/>
      <c r="BD163" s="139"/>
      <c r="BE163" s="139"/>
      <c r="BF163" s="139"/>
      <c r="BG163" s="139"/>
      <c r="BH163" s="139"/>
      <c r="BI163" s="139"/>
      <c r="BJ163" s="139"/>
      <c r="BK163" s="139"/>
      <c r="BL163" s="139"/>
      <c r="BM163" s="139"/>
      <c r="BN163" s="139"/>
      <c r="BO163" s="139"/>
      <c r="BP163" s="139"/>
      <c r="BQ163" s="139"/>
      <c r="BR163" s="139"/>
    </row>
    <row r="164" s="140" customFormat="true" ht="30" hidden="false" customHeight="false" outlineLevel="0" collapsed="false">
      <c r="A164" s="129" t="s">
        <v>507</v>
      </c>
      <c r="B164" s="130" t="s">
        <v>1118</v>
      </c>
      <c r="C164" s="131" t="s">
        <v>508</v>
      </c>
      <c r="D164" s="132"/>
      <c r="E164" s="132"/>
      <c r="F164" s="132"/>
      <c r="G164" s="133"/>
      <c r="H164" s="134" t="s">
        <v>1099</v>
      </c>
      <c r="I164" s="135" t="s">
        <v>88</v>
      </c>
      <c r="J164" s="136" t="s">
        <v>81</v>
      </c>
      <c r="K164" s="137" t="s">
        <v>88</v>
      </c>
      <c r="L164" s="138"/>
      <c r="M164" s="138"/>
      <c r="N164" s="138"/>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c r="AX164" s="138"/>
      <c r="AY164" s="139"/>
      <c r="AZ164" s="139"/>
      <c r="BA164" s="139"/>
      <c r="BB164" s="139"/>
      <c r="BC164" s="139"/>
      <c r="BD164" s="139"/>
      <c r="BE164" s="139"/>
      <c r="BF164" s="139"/>
      <c r="BG164" s="139"/>
      <c r="BH164" s="139"/>
      <c r="BI164" s="139"/>
      <c r="BJ164" s="139"/>
      <c r="BK164" s="139"/>
      <c r="BL164" s="139"/>
      <c r="BM164" s="139"/>
      <c r="BN164" s="139"/>
      <c r="BO164" s="139"/>
      <c r="BP164" s="139"/>
      <c r="BQ164" s="139"/>
      <c r="BR164" s="139"/>
    </row>
    <row r="165" s="75" customFormat="true" ht="30" hidden="false" customHeight="false" outlineLevel="0" collapsed="false">
      <c r="A165" s="141" t="s">
        <v>509</v>
      </c>
      <c r="B165" s="142" t="s">
        <v>1118</v>
      </c>
      <c r="C165" s="143" t="s">
        <v>1314</v>
      </c>
      <c r="D165" s="144"/>
      <c r="E165" s="144"/>
      <c r="F165" s="144"/>
      <c r="G165" s="145"/>
      <c r="H165" s="146" t="s">
        <v>81</v>
      </c>
      <c r="I165" s="147" t="s">
        <v>88</v>
      </c>
      <c r="J165" s="148" t="s">
        <v>1099</v>
      </c>
      <c r="K165" s="149" t="s">
        <v>88</v>
      </c>
      <c r="L165" s="150"/>
      <c r="M165" s="150"/>
      <c r="N165" s="150"/>
      <c r="O165" s="150"/>
      <c r="P165" s="150"/>
      <c r="Q165" s="150"/>
      <c r="R165" s="150"/>
      <c r="S165" s="150"/>
      <c r="T165" s="150"/>
      <c r="U165" s="150"/>
      <c r="V165" s="150"/>
      <c r="W165" s="150"/>
      <c r="X165" s="150"/>
      <c r="Y165" s="150"/>
      <c r="Z165" s="150"/>
      <c r="AA165" s="150"/>
      <c r="AB165" s="150"/>
      <c r="AC165" s="150"/>
      <c r="AD165" s="150"/>
      <c r="AE165" s="150"/>
      <c r="AF165" s="150"/>
      <c r="AG165" s="150"/>
      <c r="AH165" s="150"/>
      <c r="AI165" s="150"/>
      <c r="AJ165" s="150"/>
      <c r="AK165" s="150"/>
      <c r="AL165" s="150"/>
      <c r="AM165" s="150"/>
      <c r="AN165" s="150"/>
      <c r="AO165" s="150"/>
      <c r="AP165" s="150"/>
      <c r="AQ165" s="150"/>
      <c r="AR165" s="150"/>
      <c r="AS165" s="150"/>
      <c r="AT165" s="150"/>
      <c r="AU165" s="150"/>
      <c r="AV165" s="150"/>
      <c r="AW165" s="150"/>
      <c r="AX165" s="150"/>
      <c r="AY165" s="151"/>
      <c r="AZ165" s="151"/>
      <c r="BA165" s="151"/>
      <c r="BB165" s="151"/>
      <c r="BC165" s="151"/>
      <c r="BD165" s="151"/>
      <c r="BE165" s="151"/>
      <c r="BF165" s="151"/>
      <c r="BG165" s="151"/>
      <c r="BH165" s="151"/>
      <c r="BI165" s="151"/>
      <c r="BJ165" s="151"/>
      <c r="BK165" s="151"/>
      <c r="BL165" s="151"/>
      <c r="BM165" s="151"/>
      <c r="BN165" s="151"/>
      <c r="BO165" s="151"/>
      <c r="BP165" s="151"/>
      <c r="BQ165" s="151"/>
      <c r="BR165" s="151"/>
    </row>
    <row r="166" s="75" customFormat="true" ht="30" hidden="false" customHeight="false" outlineLevel="0" collapsed="false">
      <c r="A166" s="141" t="s">
        <v>511</v>
      </c>
      <c r="B166" s="142" t="s">
        <v>1118</v>
      </c>
      <c r="C166" s="143" t="s">
        <v>1315</v>
      </c>
      <c r="D166" s="144"/>
      <c r="E166" s="144"/>
      <c r="F166" s="144"/>
      <c r="G166" s="145"/>
      <c r="H166" s="146" t="s">
        <v>81</v>
      </c>
      <c r="I166" s="147" t="s">
        <v>88</v>
      </c>
      <c r="J166" s="148" t="s">
        <v>1099</v>
      </c>
      <c r="K166" s="149" t="s">
        <v>88</v>
      </c>
      <c r="L166" s="150"/>
      <c r="M166" s="150"/>
      <c r="N166" s="150"/>
      <c r="O166" s="150"/>
      <c r="P166" s="150"/>
      <c r="Q166" s="150"/>
      <c r="R166" s="150"/>
      <c r="S166" s="150"/>
      <c r="T166" s="150"/>
      <c r="U166" s="150"/>
      <c r="V166" s="150"/>
      <c r="W166" s="150"/>
      <c r="X166" s="150"/>
      <c r="Y166" s="150"/>
      <c r="Z166" s="150"/>
      <c r="AA166" s="150"/>
      <c r="AB166" s="150"/>
      <c r="AC166" s="150"/>
      <c r="AD166" s="150"/>
      <c r="AE166" s="150"/>
      <c r="AF166" s="150"/>
      <c r="AG166" s="150"/>
      <c r="AH166" s="150"/>
      <c r="AI166" s="150"/>
      <c r="AJ166" s="150"/>
      <c r="AK166" s="150"/>
      <c r="AL166" s="150"/>
      <c r="AM166" s="150"/>
      <c r="AN166" s="150"/>
      <c r="AO166" s="150"/>
      <c r="AP166" s="150"/>
      <c r="AQ166" s="150"/>
      <c r="AR166" s="150"/>
      <c r="AS166" s="150"/>
      <c r="AT166" s="150"/>
      <c r="AU166" s="150"/>
      <c r="AV166" s="150"/>
      <c r="AW166" s="150"/>
      <c r="AX166" s="150"/>
      <c r="AY166" s="151"/>
      <c r="AZ166" s="151"/>
      <c r="BA166" s="151"/>
      <c r="BB166" s="151"/>
      <c r="BC166" s="151"/>
      <c r="BD166" s="151"/>
      <c r="BE166" s="151"/>
      <c r="BF166" s="151"/>
      <c r="BG166" s="151"/>
      <c r="BH166" s="151"/>
      <c r="BI166" s="151"/>
      <c r="BJ166" s="151"/>
      <c r="BK166" s="151"/>
      <c r="BL166" s="151"/>
      <c r="BM166" s="151"/>
      <c r="BN166" s="151"/>
      <c r="BO166" s="151"/>
      <c r="BP166" s="151"/>
      <c r="BQ166" s="151"/>
      <c r="BR166" s="151"/>
    </row>
    <row r="167" s="75" customFormat="true" ht="30" hidden="false" customHeight="false" outlineLevel="0" collapsed="false">
      <c r="A167" s="141" t="s">
        <v>513</v>
      </c>
      <c r="B167" s="142" t="s">
        <v>1118</v>
      </c>
      <c r="C167" s="143" t="s">
        <v>1316</v>
      </c>
      <c r="D167" s="144"/>
      <c r="E167" s="144"/>
      <c r="F167" s="144"/>
      <c r="G167" s="145"/>
      <c r="H167" s="146" t="s">
        <v>81</v>
      </c>
      <c r="I167" s="147" t="s">
        <v>88</v>
      </c>
      <c r="J167" s="148" t="s">
        <v>1099</v>
      </c>
      <c r="K167" s="149" t="s">
        <v>88</v>
      </c>
      <c r="L167" s="150"/>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50"/>
      <c r="AI167" s="150"/>
      <c r="AJ167" s="150"/>
      <c r="AK167" s="150"/>
      <c r="AL167" s="150"/>
      <c r="AM167" s="150"/>
      <c r="AN167" s="150"/>
      <c r="AO167" s="150"/>
      <c r="AP167" s="150"/>
      <c r="AQ167" s="150"/>
      <c r="AR167" s="150"/>
      <c r="AS167" s="150"/>
      <c r="AT167" s="150"/>
      <c r="AU167" s="150"/>
      <c r="AV167" s="150"/>
      <c r="AW167" s="150"/>
      <c r="AX167" s="150"/>
      <c r="AY167" s="151"/>
      <c r="AZ167" s="151"/>
      <c r="BA167" s="151"/>
      <c r="BB167" s="151"/>
      <c r="BC167" s="151"/>
      <c r="BD167" s="151"/>
      <c r="BE167" s="151"/>
      <c r="BF167" s="151"/>
      <c r="BG167" s="151"/>
      <c r="BH167" s="151"/>
      <c r="BI167" s="151"/>
      <c r="BJ167" s="151"/>
      <c r="BK167" s="151"/>
      <c r="BL167" s="151"/>
      <c r="BM167" s="151"/>
      <c r="BN167" s="151"/>
      <c r="BO167" s="151"/>
      <c r="BP167" s="151"/>
      <c r="BQ167" s="151"/>
      <c r="BR167" s="151"/>
    </row>
    <row r="168" s="75" customFormat="true" ht="30" hidden="false" customHeight="false" outlineLevel="0" collapsed="false">
      <c r="A168" s="141" t="s">
        <v>515</v>
      </c>
      <c r="B168" s="142" t="s">
        <v>1118</v>
      </c>
      <c r="C168" s="143" t="s">
        <v>1317</v>
      </c>
      <c r="D168" s="144"/>
      <c r="E168" s="144"/>
      <c r="F168" s="144"/>
      <c r="G168" s="145"/>
      <c r="H168" s="146" t="s">
        <v>81</v>
      </c>
      <c r="I168" s="147" t="s">
        <v>88</v>
      </c>
      <c r="J168" s="148" t="s">
        <v>1099</v>
      </c>
      <c r="K168" s="149" t="s">
        <v>88</v>
      </c>
      <c r="L168" s="150"/>
      <c r="M168" s="150"/>
      <c r="N168" s="150"/>
      <c r="O168" s="150"/>
      <c r="P168" s="150"/>
      <c r="Q168" s="150"/>
      <c r="R168" s="150"/>
      <c r="S168" s="150"/>
      <c r="T168" s="150"/>
      <c r="U168" s="150"/>
      <c r="V168" s="150"/>
      <c r="W168" s="150"/>
      <c r="X168" s="150"/>
      <c r="Y168" s="150"/>
      <c r="Z168" s="150"/>
      <c r="AA168" s="150"/>
      <c r="AB168" s="150"/>
      <c r="AC168" s="150"/>
      <c r="AD168" s="150"/>
      <c r="AE168" s="150"/>
      <c r="AF168" s="150"/>
      <c r="AG168" s="150"/>
      <c r="AH168" s="150"/>
      <c r="AI168" s="150"/>
      <c r="AJ168" s="150"/>
      <c r="AK168" s="150"/>
      <c r="AL168" s="150"/>
      <c r="AM168" s="150"/>
      <c r="AN168" s="150"/>
      <c r="AO168" s="150"/>
      <c r="AP168" s="150"/>
      <c r="AQ168" s="150"/>
      <c r="AR168" s="150"/>
      <c r="AS168" s="150"/>
      <c r="AT168" s="150"/>
      <c r="AU168" s="150"/>
      <c r="AV168" s="150"/>
      <c r="AW168" s="150"/>
      <c r="AX168" s="150"/>
      <c r="AY168" s="151"/>
      <c r="AZ168" s="151"/>
      <c r="BA168" s="151"/>
      <c r="BB168" s="151"/>
      <c r="BC168" s="151"/>
      <c r="BD168" s="151"/>
      <c r="BE168" s="151"/>
      <c r="BF168" s="151"/>
      <c r="BG168" s="151"/>
      <c r="BH168" s="151"/>
      <c r="BI168" s="151"/>
      <c r="BJ168" s="151"/>
      <c r="BK168" s="151"/>
      <c r="BL168" s="151"/>
      <c r="BM168" s="151"/>
      <c r="BN168" s="151"/>
      <c r="BO168" s="151"/>
      <c r="BP168" s="151"/>
      <c r="BQ168" s="151"/>
      <c r="BR168" s="151"/>
    </row>
    <row r="169" s="75" customFormat="true" ht="30" hidden="false" customHeight="false" outlineLevel="0" collapsed="false">
      <c r="A169" s="141" t="s">
        <v>517</v>
      </c>
      <c r="B169" s="142" t="s">
        <v>1118</v>
      </c>
      <c r="C169" s="143" t="s">
        <v>1318</v>
      </c>
      <c r="D169" s="144"/>
      <c r="E169" s="144"/>
      <c r="F169" s="144"/>
      <c r="G169" s="145"/>
      <c r="H169" s="146" t="s">
        <v>81</v>
      </c>
      <c r="I169" s="147" t="s">
        <v>88</v>
      </c>
      <c r="J169" s="148" t="s">
        <v>1099</v>
      </c>
      <c r="K169" s="149" t="s">
        <v>88</v>
      </c>
      <c r="L169" s="150"/>
      <c r="M169" s="150"/>
      <c r="N169" s="150"/>
      <c r="O169" s="150"/>
      <c r="P169" s="150"/>
      <c r="Q169" s="150"/>
      <c r="R169" s="150"/>
      <c r="S169" s="150"/>
      <c r="T169" s="150"/>
      <c r="U169" s="150"/>
      <c r="V169" s="150"/>
      <c r="W169" s="150"/>
      <c r="X169" s="150"/>
      <c r="Y169" s="150"/>
      <c r="Z169" s="150"/>
      <c r="AA169" s="150"/>
      <c r="AB169" s="150"/>
      <c r="AC169" s="150"/>
      <c r="AD169" s="150"/>
      <c r="AE169" s="150"/>
      <c r="AF169" s="150"/>
      <c r="AG169" s="150"/>
      <c r="AH169" s="150"/>
      <c r="AI169" s="150"/>
      <c r="AJ169" s="150"/>
      <c r="AK169" s="150"/>
      <c r="AL169" s="150"/>
      <c r="AM169" s="150"/>
      <c r="AN169" s="150"/>
      <c r="AO169" s="150"/>
      <c r="AP169" s="150"/>
      <c r="AQ169" s="150"/>
      <c r="AR169" s="150"/>
      <c r="AS169" s="150"/>
      <c r="AT169" s="150"/>
      <c r="AU169" s="150"/>
      <c r="AV169" s="150"/>
      <c r="AW169" s="150"/>
      <c r="AX169" s="150"/>
      <c r="AY169" s="151"/>
      <c r="AZ169" s="151"/>
      <c r="BA169" s="151"/>
      <c r="BB169" s="151"/>
      <c r="BC169" s="151"/>
      <c r="BD169" s="151"/>
      <c r="BE169" s="151"/>
      <c r="BF169" s="151"/>
      <c r="BG169" s="151"/>
      <c r="BH169" s="151"/>
      <c r="BI169" s="151"/>
      <c r="BJ169" s="151"/>
      <c r="BK169" s="151"/>
      <c r="BL169" s="151"/>
      <c r="BM169" s="151"/>
      <c r="BN169" s="151"/>
      <c r="BO169" s="151"/>
      <c r="BP169" s="151"/>
      <c r="BQ169" s="151"/>
      <c r="BR169" s="151"/>
    </row>
    <row r="170" s="75" customFormat="true" ht="30" hidden="false" customHeight="false" outlineLevel="0" collapsed="false">
      <c r="A170" s="141" t="s">
        <v>519</v>
      </c>
      <c r="B170" s="142" t="s">
        <v>1118</v>
      </c>
      <c r="C170" s="143" t="s">
        <v>1319</v>
      </c>
      <c r="D170" s="144"/>
      <c r="E170" s="144"/>
      <c r="F170" s="144"/>
      <c r="G170" s="145"/>
      <c r="H170" s="146" t="s">
        <v>81</v>
      </c>
      <c r="I170" s="147" t="s">
        <v>88</v>
      </c>
      <c r="J170" s="148" t="s">
        <v>1099</v>
      </c>
      <c r="K170" s="149" t="s">
        <v>88</v>
      </c>
      <c r="L170" s="150"/>
      <c r="M170" s="150"/>
      <c r="N170" s="150"/>
      <c r="O170" s="150"/>
      <c r="P170" s="150"/>
      <c r="Q170" s="150"/>
      <c r="R170" s="150"/>
      <c r="S170" s="150"/>
      <c r="T170" s="150"/>
      <c r="U170" s="150"/>
      <c r="V170" s="150"/>
      <c r="W170" s="150"/>
      <c r="X170" s="150"/>
      <c r="Y170" s="150"/>
      <c r="Z170" s="150"/>
      <c r="AA170" s="150"/>
      <c r="AB170" s="150"/>
      <c r="AC170" s="150"/>
      <c r="AD170" s="150"/>
      <c r="AE170" s="150"/>
      <c r="AF170" s="150"/>
      <c r="AG170" s="150"/>
      <c r="AH170" s="150"/>
      <c r="AI170" s="150"/>
      <c r="AJ170" s="150"/>
      <c r="AK170" s="150"/>
      <c r="AL170" s="150"/>
      <c r="AM170" s="150"/>
      <c r="AN170" s="150"/>
      <c r="AO170" s="150"/>
      <c r="AP170" s="150"/>
      <c r="AQ170" s="150"/>
      <c r="AR170" s="150"/>
      <c r="AS170" s="150"/>
      <c r="AT170" s="150"/>
      <c r="AU170" s="150"/>
      <c r="AV170" s="150"/>
      <c r="AW170" s="150"/>
      <c r="AX170" s="150"/>
      <c r="AY170" s="151"/>
      <c r="AZ170" s="151"/>
      <c r="BA170" s="151"/>
      <c r="BB170" s="151"/>
      <c r="BC170" s="151"/>
      <c r="BD170" s="151"/>
      <c r="BE170" s="151"/>
      <c r="BF170" s="151"/>
      <c r="BG170" s="151"/>
      <c r="BH170" s="151"/>
      <c r="BI170" s="151"/>
      <c r="BJ170" s="151"/>
      <c r="BK170" s="151"/>
      <c r="BL170" s="151"/>
      <c r="BM170" s="151"/>
      <c r="BN170" s="151"/>
      <c r="BO170" s="151"/>
      <c r="BP170" s="151"/>
      <c r="BQ170" s="151"/>
      <c r="BR170" s="151"/>
    </row>
    <row r="171" s="75" customFormat="true" ht="30" hidden="false" customHeight="false" outlineLevel="0" collapsed="false">
      <c r="A171" s="141" t="s">
        <v>521</v>
      </c>
      <c r="B171" s="142" t="s">
        <v>1118</v>
      </c>
      <c r="C171" s="143" t="s">
        <v>1320</v>
      </c>
      <c r="D171" s="144"/>
      <c r="E171" s="144"/>
      <c r="F171" s="144"/>
      <c r="G171" s="145"/>
      <c r="H171" s="146" t="s">
        <v>81</v>
      </c>
      <c r="I171" s="147" t="s">
        <v>88</v>
      </c>
      <c r="J171" s="148" t="s">
        <v>1099</v>
      </c>
      <c r="K171" s="149" t="s">
        <v>88</v>
      </c>
      <c r="L171" s="150"/>
      <c r="M171" s="150"/>
      <c r="N171" s="150"/>
      <c r="O171" s="150"/>
      <c r="P171" s="150"/>
      <c r="Q171" s="150"/>
      <c r="R171" s="150"/>
      <c r="S171" s="150"/>
      <c r="T171" s="150"/>
      <c r="U171" s="150"/>
      <c r="V171" s="150"/>
      <c r="W171" s="150"/>
      <c r="X171" s="150"/>
      <c r="Y171" s="150"/>
      <c r="Z171" s="150"/>
      <c r="AA171" s="150"/>
      <c r="AB171" s="150"/>
      <c r="AC171" s="150"/>
      <c r="AD171" s="150"/>
      <c r="AE171" s="150"/>
      <c r="AF171" s="150"/>
      <c r="AG171" s="150"/>
      <c r="AH171" s="150"/>
      <c r="AI171" s="150"/>
      <c r="AJ171" s="150"/>
      <c r="AK171" s="150"/>
      <c r="AL171" s="150"/>
      <c r="AM171" s="150"/>
      <c r="AN171" s="150"/>
      <c r="AO171" s="150"/>
      <c r="AP171" s="150"/>
      <c r="AQ171" s="150"/>
      <c r="AR171" s="150"/>
      <c r="AS171" s="150"/>
      <c r="AT171" s="150"/>
      <c r="AU171" s="150"/>
      <c r="AV171" s="150"/>
      <c r="AW171" s="150"/>
      <c r="AX171" s="150"/>
      <c r="AY171" s="151"/>
      <c r="AZ171" s="151"/>
      <c r="BA171" s="151"/>
      <c r="BB171" s="151"/>
      <c r="BC171" s="151"/>
      <c r="BD171" s="151"/>
      <c r="BE171" s="151"/>
      <c r="BF171" s="151"/>
      <c r="BG171" s="151"/>
      <c r="BH171" s="151"/>
      <c r="BI171" s="151"/>
      <c r="BJ171" s="151"/>
      <c r="BK171" s="151"/>
      <c r="BL171" s="151"/>
      <c r="BM171" s="151"/>
      <c r="BN171" s="151"/>
      <c r="BO171" s="151"/>
      <c r="BP171" s="151"/>
      <c r="BQ171" s="151"/>
      <c r="BR171" s="151"/>
    </row>
    <row r="172" s="75" customFormat="true" ht="15" hidden="false" customHeight="false" outlineLevel="0" collapsed="false">
      <c r="A172" s="141"/>
      <c r="B172" s="142"/>
      <c r="C172" s="143"/>
      <c r="D172" s="144"/>
      <c r="E172" s="144"/>
      <c r="F172" s="144"/>
      <c r="G172" s="145"/>
      <c r="H172" s="146"/>
      <c r="I172" s="147"/>
      <c r="J172" s="148"/>
      <c r="K172" s="149"/>
      <c r="L172" s="150"/>
      <c r="M172" s="150"/>
      <c r="N172" s="150"/>
      <c r="O172" s="150"/>
      <c r="P172" s="150"/>
      <c r="Q172" s="150"/>
      <c r="R172" s="150"/>
      <c r="S172" s="150"/>
      <c r="T172" s="150"/>
      <c r="U172" s="150"/>
      <c r="V172" s="150"/>
      <c r="W172" s="150"/>
      <c r="X172" s="150"/>
      <c r="Y172" s="150"/>
      <c r="Z172" s="150"/>
      <c r="AA172" s="150"/>
      <c r="AB172" s="150"/>
      <c r="AC172" s="150"/>
      <c r="AD172" s="150"/>
      <c r="AE172" s="150"/>
      <c r="AF172" s="150"/>
      <c r="AG172" s="150"/>
      <c r="AH172" s="150"/>
      <c r="AI172" s="150"/>
      <c r="AJ172" s="150"/>
      <c r="AK172" s="150"/>
      <c r="AL172" s="150"/>
      <c r="AM172" s="150"/>
      <c r="AN172" s="150"/>
      <c r="AO172" s="150"/>
      <c r="AP172" s="150"/>
      <c r="AQ172" s="150"/>
      <c r="AR172" s="150"/>
      <c r="AS172" s="150"/>
      <c r="AT172" s="150"/>
      <c r="AU172" s="150"/>
      <c r="AV172" s="150"/>
      <c r="AW172" s="150"/>
      <c r="AX172" s="150"/>
      <c r="AY172" s="151"/>
      <c r="AZ172" s="151"/>
      <c r="BA172" s="151"/>
      <c r="BB172" s="151"/>
      <c r="BC172" s="151"/>
      <c r="BD172" s="151"/>
      <c r="BE172" s="151"/>
      <c r="BF172" s="151"/>
      <c r="BG172" s="151"/>
      <c r="BH172" s="151"/>
      <c r="BI172" s="151"/>
      <c r="BJ172" s="151"/>
      <c r="BK172" s="151"/>
      <c r="BL172" s="151"/>
      <c r="BM172" s="151"/>
      <c r="BN172" s="151"/>
      <c r="BO172" s="151"/>
      <c r="BP172" s="151"/>
      <c r="BQ172" s="151"/>
      <c r="BR172" s="151"/>
    </row>
    <row r="173" s="75" customFormat="true" ht="15" hidden="false" customHeight="false" outlineLevel="0" collapsed="false">
      <c r="A173" s="141" t="s">
        <v>523</v>
      </c>
      <c r="B173" s="142" t="s">
        <v>1090</v>
      </c>
      <c r="C173" s="143" t="s">
        <v>524</v>
      </c>
      <c r="D173" s="144"/>
      <c r="E173" s="144"/>
      <c r="F173" s="144"/>
      <c r="G173" s="145"/>
      <c r="H173" s="146" t="s">
        <v>81</v>
      </c>
      <c r="I173" s="147" t="s">
        <v>88</v>
      </c>
      <c r="J173" s="148" t="s">
        <v>81</v>
      </c>
      <c r="K173" s="149" t="s">
        <v>88</v>
      </c>
      <c r="L173" s="150" t="s">
        <v>1321</v>
      </c>
      <c r="M173" s="150" t="s">
        <v>1322</v>
      </c>
      <c r="N173" s="150" t="s">
        <v>1323</v>
      </c>
      <c r="O173" s="150" t="s">
        <v>1324</v>
      </c>
      <c r="P173" s="150" t="s">
        <v>1325</v>
      </c>
      <c r="Q173" s="150" t="s">
        <v>1326</v>
      </c>
      <c r="R173" s="150" t="s">
        <v>1327</v>
      </c>
      <c r="S173" s="150" t="s">
        <v>1328</v>
      </c>
      <c r="T173" s="150" t="s">
        <v>1329</v>
      </c>
      <c r="U173" s="150" t="s">
        <v>1330</v>
      </c>
      <c r="V173" s="150" t="s">
        <v>1331</v>
      </c>
      <c r="W173" s="150" t="s">
        <v>1332</v>
      </c>
      <c r="X173" s="150"/>
      <c r="Y173" s="150"/>
      <c r="Z173" s="150"/>
      <c r="AA173" s="150"/>
      <c r="AB173" s="150"/>
      <c r="AC173" s="150"/>
      <c r="AD173" s="150"/>
      <c r="AE173" s="150"/>
      <c r="AF173" s="150"/>
      <c r="AG173" s="150"/>
      <c r="AH173" s="150"/>
      <c r="AI173" s="150"/>
      <c r="AJ173" s="150"/>
      <c r="AK173" s="150"/>
      <c r="AL173" s="150"/>
      <c r="AM173" s="150"/>
      <c r="AN173" s="150"/>
      <c r="AO173" s="150"/>
      <c r="AP173" s="150"/>
      <c r="AQ173" s="150"/>
      <c r="AR173" s="150"/>
      <c r="AS173" s="150"/>
      <c r="AT173" s="150"/>
      <c r="AU173" s="150"/>
      <c r="AV173" s="150"/>
      <c r="AW173" s="150"/>
      <c r="AX173" s="150"/>
      <c r="AY173" s="151"/>
      <c r="AZ173" s="151"/>
      <c r="BA173" s="151"/>
      <c r="BB173" s="151"/>
      <c r="BC173" s="151"/>
      <c r="BD173" s="151"/>
      <c r="BE173" s="151"/>
      <c r="BF173" s="151"/>
      <c r="BG173" s="151"/>
      <c r="BH173" s="151"/>
      <c r="BI173" s="151"/>
      <c r="BJ173" s="151"/>
      <c r="BK173" s="151"/>
      <c r="BL173" s="151"/>
      <c r="BM173" s="151"/>
      <c r="BN173" s="151"/>
      <c r="BO173" s="151"/>
      <c r="BP173" s="151"/>
      <c r="BQ173" s="151"/>
      <c r="BR173" s="151"/>
    </row>
    <row r="174" s="75" customFormat="true" ht="15" hidden="false" customHeight="false" outlineLevel="0" collapsed="false">
      <c r="A174" s="141"/>
      <c r="B174" s="142"/>
      <c r="C174" s="143"/>
      <c r="D174" s="144"/>
      <c r="E174" s="144"/>
      <c r="F174" s="144"/>
      <c r="G174" s="145"/>
      <c r="H174" s="146"/>
      <c r="I174" s="147"/>
      <c r="J174" s="148"/>
      <c r="K174" s="149"/>
      <c r="L174" s="150"/>
      <c r="M174" s="150"/>
      <c r="N174" s="150"/>
      <c r="O174" s="150"/>
      <c r="P174" s="150"/>
      <c r="Q174" s="150"/>
      <c r="R174" s="150"/>
      <c r="S174" s="150"/>
      <c r="T174" s="150"/>
      <c r="U174" s="150"/>
      <c r="V174" s="150"/>
      <c r="W174" s="150"/>
      <c r="X174" s="150"/>
      <c r="Y174" s="150"/>
      <c r="Z174" s="150"/>
      <c r="AA174" s="150"/>
      <c r="AB174" s="150"/>
      <c r="AC174" s="150"/>
      <c r="AD174" s="150"/>
      <c r="AE174" s="150"/>
      <c r="AF174" s="150"/>
      <c r="AG174" s="150"/>
      <c r="AH174" s="150"/>
      <c r="AI174" s="150"/>
      <c r="AJ174" s="150"/>
      <c r="AK174" s="150"/>
      <c r="AL174" s="150"/>
      <c r="AM174" s="150"/>
      <c r="AN174" s="150"/>
      <c r="AO174" s="150"/>
      <c r="AP174" s="150"/>
      <c r="AQ174" s="150"/>
      <c r="AR174" s="150"/>
      <c r="AS174" s="150"/>
      <c r="AT174" s="150"/>
      <c r="AU174" s="150"/>
      <c r="AV174" s="150"/>
      <c r="AW174" s="150"/>
      <c r="AX174" s="150"/>
      <c r="AY174" s="151"/>
      <c r="AZ174" s="151"/>
      <c r="BA174" s="151"/>
      <c r="BB174" s="151"/>
      <c r="BC174" s="151"/>
      <c r="BD174" s="151"/>
      <c r="BE174" s="151"/>
      <c r="BF174" s="151"/>
      <c r="BG174" s="151"/>
      <c r="BH174" s="151"/>
      <c r="BI174" s="151"/>
      <c r="BJ174" s="151"/>
      <c r="BK174" s="151"/>
      <c r="BL174" s="151"/>
      <c r="BM174" s="151"/>
      <c r="BN174" s="151"/>
      <c r="BO174" s="151"/>
      <c r="BP174" s="151"/>
      <c r="BQ174" s="151"/>
      <c r="BR174" s="151"/>
    </row>
    <row r="175" s="140" customFormat="true" ht="30" hidden="false" customHeight="false" outlineLevel="0" collapsed="false">
      <c r="A175" s="129" t="s">
        <v>525</v>
      </c>
      <c r="B175" s="130" t="s">
        <v>1118</v>
      </c>
      <c r="C175" s="131" t="s">
        <v>526</v>
      </c>
      <c r="D175" s="132"/>
      <c r="E175" s="132"/>
      <c r="F175" s="132"/>
      <c r="G175" s="133"/>
      <c r="H175" s="134" t="s">
        <v>1099</v>
      </c>
      <c r="I175" s="135" t="s">
        <v>88</v>
      </c>
      <c r="J175" s="136" t="s">
        <v>81</v>
      </c>
      <c r="K175" s="137" t="s">
        <v>88</v>
      </c>
      <c r="L175" s="138"/>
      <c r="M175" s="138"/>
      <c r="N175" s="138"/>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AX175" s="138"/>
      <c r="AY175" s="139"/>
      <c r="AZ175" s="139"/>
      <c r="BA175" s="139"/>
      <c r="BB175" s="139"/>
      <c r="BC175" s="139"/>
      <c r="BD175" s="139"/>
      <c r="BE175" s="139"/>
      <c r="BF175" s="139"/>
      <c r="BG175" s="139"/>
      <c r="BH175" s="139"/>
      <c r="BI175" s="139"/>
      <c r="BJ175" s="139"/>
      <c r="BK175" s="139"/>
      <c r="BL175" s="139"/>
      <c r="BM175" s="139"/>
      <c r="BN175" s="139"/>
      <c r="BO175" s="139"/>
      <c r="BP175" s="139"/>
      <c r="BQ175" s="139"/>
      <c r="BR175" s="139"/>
    </row>
    <row r="176" s="140" customFormat="true" ht="30" hidden="false" customHeight="false" outlineLevel="0" collapsed="false">
      <c r="A176" s="129" t="s">
        <v>527</v>
      </c>
      <c r="B176" s="130" t="s">
        <v>1118</v>
      </c>
      <c r="C176" s="131" t="s">
        <v>528</v>
      </c>
      <c r="D176" s="132"/>
      <c r="E176" s="132"/>
      <c r="F176" s="132"/>
      <c r="G176" s="133"/>
      <c r="H176" s="134" t="s">
        <v>1099</v>
      </c>
      <c r="I176" s="135" t="s">
        <v>88</v>
      </c>
      <c r="J176" s="136" t="s">
        <v>81</v>
      </c>
      <c r="K176" s="137" t="s">
        <v>88</v>
      </c>
      <c r="L176" s="138"/>
      <c r="M176" s="138"/>
      <c r="N176" s="138"/>
      <c r="O176" s="138"/>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138"/>
      <c r="AT176" s="138"/>
      <c r="AU176" s="138"/>
      <c r="AV176" s="138"/>
      <c r="AW176" s="138"/>
      <c r="AX176" s="138"/>
      <c r="AY176" s="139"/>
      <c r="AZ176" s="139"/>
      <c r="BA176" s="139"/>
      <c r="BB176" s="139"/>
      <c r="BC176" s="139"/>
      <c r="BD176" s="139"/>
      <c r="BE176" s="139"/>
      <c r="BF176" s="139"/>
      <c r="BG176" s="139"/>
      <c r="BH176" s="139"/>
      <c r="BI176" s="139"/>
      <c r="BJ176" s="139"/>
      <c r="BK176" s="139"/>
      <c r="BL176" s="139"/>
      <c r="BM176" s="139"/>
      <c r="BN176" s="139"/>
      <c r="BO176" s="139"/>
      <c r="BP176" s="139"/>
      <c r="BQ176" s="139"/>
      <c r="BR176" s="139"/>
    </row>
    <row r="177" s="140" customFormat="true" ht="30" hidden="false" customHeight="false" outlineLevel="0" collapsed="false">
      <c r="A177" s="129" t="s">
        <v>529</v>
      </c>
      <c r="B177" s="130" t="s">
        <v>1118</v>
      </c>
      <c r="C177" s="131" t="s">
        <v>530</v>
      </c>
      <c r="D177" s="132"/>
      <c r="E177" s="132"/>
      <c r="F177" s="132"/>
      <c r="G177" s="133"/>
      <c r="H177" s="134" t="s">
        <v>1099</v>
      </c>
      <c r="I177" s="135" t="s">
        <v>88</v>
      </c>
      <c r="J177" s="136" t="s">
        <v>81</v>
      </c>
      <c r="K177" s="137" t="s">
        <v>88</v>
      </c>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AX177" s="138"/>
      <c r="AY177" s="139"/>
      <c r="AZ177" s="139"/>
      <c r="BA177" s="139"/>
      <c r="BB177" s="139"/>
      <c r="BC177" s="139"/>
      <c r="BD177" s="139"/>
      <c r="BE177" s="139"/>
      <c r="BF177" s="139"/>
      <c r="BG177" s="139"/>
      <c r="BH177" s="139"/>
      <c r="BI177" s="139"/>
      <c r="BJ177" s="139"/>
      <c r="BK177" s="139"/>
      <c r="BL177" s="139"/>
      <c r="BM177" s="139"/>
      <c r="BN177" s="139"/>
      <c r="BO177" s="139"/>
      <c r="BP177" s="139"/>
      <c r="BQ177" s="139"/>
      <c r="BR177" s="139"/>
    </row>
    <row r="178" s="140" customFormat="true" ht="30" hidden="false" customHeight="false" outlineLevel="0" collapsed="false">
      <c r="A178" s="129" t="s">
        <v>531</v>
      </c>
      <c r="B178" s="130" t="s">
        <v>1118</v>
      </c>
      <c r="C178" s="131" t="s">
        <v>532</v>
      </c>
      <c r="D178" s="132"/>
      <c r="E178" s="132"/>
      <c r="F178" s="132"/>
      <c r="G178" s="133"/>
      <c r="H178" s="134" t="s">
        <v>1099</v>
      </c>
      <c r="I178" s="135" t="s">
        <v>88</v>
      </c>
      <c r="J178" s="136" t="s">
        <v>81</v>
      </c>
      <c r="K178" s="137" t="s">
        <v>88</v>
      </c>
      <c r="L178" s="138"/>
      <c r="M178" s="138"/>
      <c r="N178" s="138"/>
      <c r="O178" s="138"/>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138"/>
      <c r="AV178" s="138"/>
      <c r="AW178" s="138"/>
      <c r="AX178" s="138"/>
      <c r="AY178" s="139"/>
      <c r="AZ178" s="139"/>
      <c r="BA178" s="139"/>
      <c r="BB178" s="139"/>
      <c r="BC178" s="139"/>
      <c r="BD178" s="139"/>
      <c r="BE178" s="139"/>
      <c r="BF178" s="139"/>
      <c r="BG178" s="139"/>
      <c r="BH178" s="139"/>
      <c r="BI178" s="139"/>
      <c r="BJ178" s="139"/>
      <c r="BK178" s="139"/>
      <c r="BL178" s="139"/>
      <c r="BM178" s="139"/>
      <c r="BN178" s="139"/>
      <c r="BO178" s="139"/>
      <c r="BP178" s="139"/>
      <c r="BQ178" s="139"/>
      <c r="BR178" s="139"/>
    </row>
    <row r="179" s="140" customFormat="true" ht="30" hidden="false" customHeight="false" outlineLevel="0" collapsed="false">
      <c r="A179" s="129" t="s">
        <v>533</v>
      </c>
      <c r="B179" s="130" t="s">
        <v>1118</v>
      </c>
      <c r="C179" s="131" t="s">
        <v>534</v>
      </c>
      <c r="D179" s="132"/>
      <c r="E179" s="132"/>
      <c r="F179" s="132"/>
      <c r="G179" s="133"/>
      <c r="H179" s="134" t="s">
        <v>1099</v>
      </c>
      <c r="I179" s="135" t="s">
        <v>88</v>
      </c>
      <c r="J179" s="136" t="s">
        <v>81</v>
      </c>
      <c r="K179" s="137" t="s">
        <v>88</v>
      </c>
      <c r="L179" s="138"/>
      <c r="M179" s="138"/>
      <c r="N179" s="138"/>
      <c r="O179" s="138"/>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138"/>
      <c r="AV179" s="138"/>
      <c r="AW179" s="138"/>
      <c r="AX179" s="138"/>
      <c r="AY179" s="139"/>
      <c r="AZ179" s="139"/>
      <c r="BA179" s="139"/>
      <c r="BB179" s="139"/>
      <c r="BC179" s="139"/>
      <c r="BD179" s="139"/>
      <c r="BE179" s="139"/>
      <c r="BF179" s="139"/>
      <c r="BG179" s="139"/>
      <c r="BH179" s="139"/>
      <c r="BI179" s="139"/>
      <c r="BJ179" s="139"/>
      <c r="BK179" s="139"/>
      <c r="BL179" s="139"/>
      <c r="BM179" s="139"/>
      <c r="BN179" s="139"/>
      <c r="BO179" s="139"/>
      <c r="BP179" s="139"/>
      <c r="BQ179" s="139"/>
      <c r="BR179" s="139"/>
    </row>
    <row r="180" s="140" customFormat="true" ht="30" hidden="false" customHeight="false" outlineLevel="0" collapsed="false">
      <c r="A180" s="129" t="s">
        <v>535</v>
      </c>
      <c r="B180" s="130" t="s">
        <v>1118</v>
      </c>
      <c r="C180" s="131" t="s">
        <v>536</v>
      </c>
      <c r="D180" s="132"/>
      <c r="E180" s="132"/>
      <c r="F180" s="132"/>
      <c r="G180" s="133"/>
      <c r="H180" s="134" t="s">
        <v>1099</v>
      </c>
      <c r="I180" s="135" t="s">
        <v>88</v>
      </c>
      <c r="J180" s="136" t="s">
        <v>81</v>
      </c>
      <c r="K180" s="137" t="s">
        <v>88</v>
      </c>
      <c r="L180" s="138"/>
      <c r="M180" s="138"/>
      <c r="N180" s="138"/>
      <c r="O180" s="138"/>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138"/>
      <c r="AV180" s="138"/>
      <c r="AW180" s="138"/>
      <c r="AX180" s="138"/>
      <c r="AY180" s="139"/>
      <c r="AZ180" s="139"/>
      <c r="BA180" s="139"/>
      <c r="BB180" s="139"/>
      <c r="BC180" s="139"/>
      <c r="BD180" s="139"/>
      <c r="BE180" s="139"/>
      <c r="BF180" s="139"/>
      <c r="BG180" s="139"/>
      <c r="BH180" s="139"/>
      <c r="BI180" s="139"/>
      <c r="BJ180" s="139"/>
      <c r="BK180" s="139"/>
      <c r="BL180" s="139"/>
      <c r="BM180" s="139"/>
      <c r="BN180" s="139"/>
      <c r="BO180" s="139"/>
      <c r="BP180" s="139"/>
      <c r="BQ180" s="139"/>
      <c r="BR180" s="139"/>
    </row>
    <row r="181" s="140" customFormat="true" ht="30" hidden="false" customHeight="false" outlineLevel="0" collapsed="false">
      <c r="A181" s="129" t="s">
        <v>537</v>
      </c>
      <c r="B181" s="130" t="s">
        <v>1118</v>
      </c>
      <c r="C181" s="131" t="s">
        <v>538</v>
      </c>
      <c r="D181" s="132"/>
      <c r="E181" s="132"/>
      <c r="F181" s="132"/>
      <c r="G181" s="133"/>
      <c r="H181" s="134" t="s">
        <v>1099</v>
      </c>
      <c r="I181" s="135" t="s">
        <v>88</v>
      </c>
      <c r="J181" s="136" t="s">
        <v>81</v>
      </c>
      <c r="K181" s="137" t="s">
        <v>88</v>
      </c>
      <c r="L181" s="138"/>
      <c r="M181" s="138"/>
      <c r="N181" s="138"/>
      <c r="O181" s="138"/>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138"/>
      <c r="AV181" s="138"/>
      <c r="AW181" s="138"/>
      <c r="AX181" s="138"/>
      <c r="AY181" s="139"/>
      <c r="AZ181" s="139"/>
      <c r="BA181" s="139"/>
      <c r="BB181" s="139"/>
      <c r="BC181" s="139"/>
      <c r="BD181" s="139"/>
      <c r="BE181" s="139"/>
      <c r="BF181" s="139"/>
      <c r="BG181" s="139"/>
      <c r="BH181" s="139"/>
      <c r="BI181" s="139"/>
      <c r="BJ181" s="139"/>
      <c r="BK181" s="139"/>
      <c r="BL181" s="139"/>
      <c r="BM181" s="139"/>
      <c r="BN181" s="139"/>
      <c r="BO181" s="139"/>
      <c r="BP181" s="139"/>
      <c r="BQ181" s="139"/>
      <c r="BR181" s="139"/>
    </row>
    <row r="182" s="75" customFormat="true" ht="15" hidden="false" customHeight="false" outlineLevel="0" collapsed="false">
      <c r="A182" s="141" t="s">
        <v>539</v>
      </c>
      <c r="B182" s="142" t="s">
        <v>1118</v>
      </c>
      <c r="C182" s="143" t="s">
        <v>1333</v>
      </c>
      <c r="D182" s="144"/>
      <c r="E182" s="144"/>
      <c r="F182" s="144"/>
      <c r="G182" s="145"/>
      <c r="H182" s="146" t="s">
        <v>81</v>
      </c>
      <c r="I182" s="147" t="s">
        <v>88</v>
      </c>
      <c r="J182" s="148" t="s">
        <v>1099</v>
      </c>
      <c r="K182" s="149" t="s">
        <v>88</v>
      </c>
      <c r="L182" s="150"/>
      <c r="M182" s="150"/>
      <c r="N182" s="150"/>
      <c r="O182" s="150"/>
      <c r="P182" s="150"/>
      <c r="Q182" s="150"/>
      <c r="R182" s="150"/>
      <c r="S182" s="150"/>
      <c r="T182" s="150"/>
      <c r="U182" s="150"/>
      <c r="V182" s="150"/>
      <c r="W182" s="150"/>
      <c r="X182" s="150"/>
      <c r="Y182" s="150"/>
      <c r="Z182" s="150"/>
      <c r="AA182" s="150"/>
      <c r="AB182" s="150"/>
      <c r="AC182" s="150"/>
      <c r="AD182" s="150"/>
      <c r="AE182" s="150"/>
      <c r="AF182" s="150"/>
      <c r="AG182" s="150"/>
      <c r="AH182" s="150"/>
      <c r="AI182" s="150"/>
      <c r="AJ182" s="150"/>
      <c r="AK182" s="150"/>
      <c r="AL182" s="150"/>
      <c r="AM182" s="150"/>
      <c r="AN182" s="150"/>
      <c r="AO182" s="150"/>
      <c r="AP182" s="150"/>
      <c r="AQ182" s="150"/>
      <c r="AR182" s="150"/>
      <c r="AS182" s="150"/>
      <c r="AT182" s="150"/>
      <c r="AU182" s="150"/>
      <c r="AV182" s="150"/>
      <c r="AW182" s="150"/>
      <c r="AX182" s="150"/>
      <c r="AY182" s="151"/>
      <c r="AZ182" s="151"/>
      <c r="BA182" s="151"/>
      <c r="BB182" s="151"/>
      <c r="BC182" s="151"/>
      <c r="BD182" s="151"/>
      <c r="BE182" s="151"/>
      <c r="BF182" s="151"/>
      <c r="BG182" s="151"/>
      <c r="BH182" s="151"/>
      <c r="BI182" s="151"/>
      <c r="BJ182" s="151"/>
      <c r="BK182" s="151"/>
      <c r="BL182" s="151"/>
      <c r="BM182" s="151"/>
      <c r="BN182" s="151"/>
      <c r="BO182" s="151"/>
      <c r="BP182" s="151"/>
      <c r="BQ182" s="151"/>
      <c r="BR182" s="151"/>
    </row>
    <row r="183" s="75" customFormat="true" ht="15" hidden="false" customHeight="false" outlineLevel="0" collapsed="false">
      <c r="A183" s="141" t="s">
        <v>541</v>
      </c>
      <c r="B183" s="142" t="s">
        <v>1118</v>
      </c>
      <c r="C183" s="143" t="s">
        <v>1334</v>
      </c>
      <c r="D183" s="144"/>
      <c r="E183" s="144"/>
      <c r="F183" s="144"/>
      <c r="G183" s="145"/>
      <c r="H183" s="146" t="s">
        <v>81</v>
      </c>
      <c r="I183" s="147" t="s">
        <v>88</v>
      </c>
      <c r="J183" s="148" t="s">
        <v>1099</v>
      </c>
      <c r="K183" s="149" t="s">
        <v>88</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50"/>
      <c r="AL183" s="150"/>
      <c r="AM183" s="150"/>
      <c r="AN183" s="150"/>
      <c r="AO183" s="150"/>
      <c r="AP183" s="150"/>
      <c r="AQ183" s="150"/>
      <c r="AR183" s="150"/>
      <c r="AS183" s="150"/>
      <c r="AT183" s="150"/>
      <c r="AU183" s="150"/>
      <c r="AV183" s="150"/>
      <c r="AW183" s="150"/>
      <c r="AX183" s="150"/>
      <c r="AY183" s="151"/>
      <c r="AZ183" s="151"/>
      <c r="BA183" s="151"/>
      <c r="BB183" s="151"/>
      <c r="BC183" s="151"/>
      <c r="BD183" s="151"/>
      <c r="BE183" s="151"/>
      <c r="BF183" s="151"/>
      <c r="BG183" s="151"/>
      <c r="BH183" s="151"/>
      <c r="BI183" s="151"/>
      <c r="BJ183" s="151"/>
      <c r="BK183" s="151"/>
      <c r="BL183" s="151"/>
      <c r="BM183" s="151"/>
      <c r="BN183" s="151"/>
      <c r="BO183" s="151"/>
      <c r="BP183" s="151"/>
      <c r="BQ183" s="151"/>
      <c r="BR183" s="151"/>
    </row>
    <row r="184" s="75" customFormat="true" ht="15" hidden="false" customHeight="false" outlineLevel="0" collapsed="false">
      <c r="A184" s="141" t="s">
        <v>543</v>
      </c>
      <c r="B184" s="142" t="s">
        <v>1118</v>
      </c>
      <c r="C184" s="143" t="s">
        <v>1335</v>
      </c>
      <c r="D184" s="144"/>
      <c r="E184" s="144"/>
      <c r="F184" s="144"/>
      <c r="G184" s="145"/>
      <c r="H184" s="146" t="s">
        <v>81</v>
      </c>
      <c r="I184" s="147" t="s">
        <v>88</v>
      </c>
      <c r="J184" s="148" t="s">
        <v>1099</v>
      </c>
      <c r="K184" s="149" t="s">
        <v>88</v>
      </c>
      <c r="L184" s="150"/>
      <c r="M184" s="150"/>
      <c r="N184" s="150"/>
      <c r="O184" s="150"/>
      <c r="P184" s="150"/>
      <c r="Q184" s="150"/>
      <c r="R184" s="150"/>
      <c r="S184" s="150"/>
      <c r="T184" s="150"/>
      <c r="U184" s="150"/>
      <c r="V184" s="150"/>
      <c r="W184" s="150"/>
      <c r="X184" s="150"/>
      <c r="Y184" s="150"/>
      <c r="Z184" s="150"/>
      <c r="AA184" s="150"/>
      <c r="AB184" s="150"/>
      <c r="AC184" s="150"/>
      <c r="AD184" s="150"/>
      <c r="AE184" s="150"/>
      <c r="AF184" s="150"/>
      <c r="AG184" s="150"/>
      <c r="AH184" s="150"/>
      <c r="AI184" s="150"/>
      <c r="AJ184" s="150"/>
      <c r="AK184" s="150"/>
      <c r="AL184" s="150"/>
      <c r="AM184" s="150"/>
      <c r="AN184" s="150"/>
      <c r="AO184" s="150"/>
      <c r="AP184" s="150"/>
      <c r="AQ184" s="150"/>
      <c r="AR184" s="150"/>
      <c r="AS184" s="150"/>
      <c r="AT184" s="150"/>
      <c r="AU184" s="150"/>
      <c r="AV184" s="150"/>
      <c r="AW184" s="150"/>
      <c r="AX184" s="150"/>
      <c r="AY184" s="151"/>
      <c r="AZ184" s="151"/>
      <c r="BA184" s="151"/>
      <c r="BB184" s="151"/>
      <c r="BC184" s="151"/>
      <c r="BD184" s="151"/>
      <c r="BE184" s="151"/>
      <c r="BF184" s="151"/>
      <c r="BG184" s="151"/>
      <c r="BH184" s="151"/>
      <c r="BI184" s="151"/>
      <c r="BJ184" s="151"/>
      <c r="BK184" s="151"/>
      <c r="BL184" s="151"/>
      <c r="BM184" s="151"/>
      <c r="BN184" s="151"/>
      <c r="BO184" s="151"/>
      <c r="BP184" s="151"/>
      <c r="BQ184" s="151"/>
      <c r="BR184" s="151"/>
    </row>
    <row r="185" s="75" customFormat="true" ht="15" hidden="false" customHeight="false" outlineLevel="0" collapsed="false">
      <c r="A185" s="141" t="s">
        <v>545</v>
      </c>
      <c r="B185" s="142" t="s">
        <v>1118</v>
      </c>
      <c r="C185" s="143" t="s">
        <v>1336</v>
      </c>
      <c r="D185" s="144"/>
      <c r="E185" s="144"/>
      <c r="F185" s="144"/>
      <c r="G185" s="145"/>
      <c r="H185" s="146" t="s">
        <v>81</v>
      </c>
      <c r="I185" s="147" t="s">
        <v>88</v>
      </c>
      <c r="J185" s="148" t="s">
        <v>1099</v>
      </c>
      <c r="K185" s="149" t="s">
        <v>88</v>
      </c>
      <c r="L185" s="150"/>
      <c r="M185" s="150"/>
      <c r="N185" s="150"/>
      <c r="O185" s="150"/>
      <c r="P185" s="150"/>
      <c r="Q185" s="150"/>
      <c r="R185" s="150"/>
      <c r="S185" s="150"/>
      <c r="T185" s="150"/>
      <c r="U185" s="150"/>
      <c r="V185" s="150"/>
      <c r="W185" s="150"/>
      <c r="X185" s="150"/>
      <c r="Y185" s="150"/>
      <c r="Z185" s="150"/>
      <c r="AA185" s="150"/>
      <c r="AB185" s="150"/>
      <c r="AC185" s="150"/>
      <c r="AD185" s="150"/>
      <c r="AE185" s="150"/>
      <c r="AF185" s="150"/>
      <c r="AG185" s="150"/>
      <c r="AH185" s="150"/>
      <c r="AI185" s="150"/>
      <c r="AJ185" s="150"/>
      <c r="AK185" s="150"/>
      <c r="AL185" s="150"/>
      <c r="AM185" s="150"/>
      <c r="AN185" s="150"/>
      <c r="AO185" s="150"/>
      <c r="AP185" s="150"/>
      <c r="AQ185" s="150"/>
      <c r="AR185" s="150"/>
      <c r="AS185" s="150"/>
      <c r="AT185" s="150"/>
      <c r="AU185" s="150"/>
      <c r="AV185" s="150"/>
      <c r="AW185" s="150"/>
      <c r="AX185" s="150"/>
      <c r="AY185" s="151"/>
      <c r="AZ185" s="151"/>
      <c r="BA185" s="151"/>
      <c r="BB185" s="151"/>
      <c r="BC185" s="151"/>
      <c r="BD185" s="151"/>
      <c r="BE185" s="151"/>
      <c r="BF185" s="151"/>
      <c r="BG185" s="151"/>
      <c r="BH185" s="151"/>
      <c r="BI185" s="151"/>
      <c r="BJ185" s="151"/>
      <c r="BK185" s="151"/>
      <c r="BL185" s="151"/>
      <c r="BM185" s="151"/>
      <c r="BN185" s="151"/>
      <c r="BO185" s="151"/>
      <c r="BP185" s="151"/>
      <c r="BQ185" s="151"/>
      <c r="BR185" s="151"/>
    </row>
    <row r="186" s="75" customFormat="true" ht="15" hidden="false" customHeight="false" outlineLevel="0" collapsed="false">
      <c r="A186" s="141" t="s">
        <v>547</v>
      </c>
      <c r="B186" s="142" t="s">
        <v>1118</v>
      </c>
      <c r="C186" s="143" t="s">
        <v>1337</v>
      </c>
      <c r="D186" s="144"/>
      <c r="E186" s="144"/>
      <c r="F186" s="144"/>
      <c r="G186" s="145"/>
      <c r="H186" s="146" t="s">
        <v>81</v>
      </c>
      <c r="I186" s="147" t="s">
        <v>88</v>
      </c>
      <c r="J186" s="148" t="s">
        <v>1099</v>
      </c>
      <c r="K186" s="149" t="s">
        <v>88</v>
      </c>
      <c r="L186" s="150"/>
      <c r="M186" s="150"/>
      <c r="N186" s="150"/>
      <c r="O186" s="150"/>
      <c r="P186" s="150"/>
      <c r="Q186" s="150"/>
      <c r="R186" s="150"/>
      <c r="S186" s="150"/>
      <c r="T186" s="150"/>
      <c r="U186" s="150"/>
      <c r="V186" s="150"/>
      <c r="W186" s="150"/>
      <c r="X186" s="150"/>
      <c r="Y186" s="150"/>
      <c r="Z186" s="150"/>
      <c r="AA186" s="150"/>
      <c r="AB186" s="150"/>
      <c r="AC186" s="150"/>
      <c r="AD186" s="150"/>
      <c r="AE186" s="150"/>
      <c r="AF186" s="150"/>
      <c r="AG186" s="150"/>
      <c r="AH186" s="150"/>
      <c r="AI186" s="150"/>
      <c r="AJ186" s="150"/>
      <c r="AK186" s="150"/>
      <c r="AL186" s="150"/>
      <c r="AM186" s="150"/>
      <c r="AN186" s="150"/>
      <c r="AO186" s="150"/>
      <c r="AP186" s="150"/>
      <c r="AQ186" s="150"/>
      <c r="AR186" s="150"/>
      <c r="AS186" s="150"/>
      <c r="AT186" s="150"/>
      <c r="AU186" s="150"/>
      <c r="AV186" s="150"/>
      <c r="AW186" s="150"/>
      <c r="AX186" s="150"/>
      <c r="AY186" s="151"/>
      <c r="AZ186" s="151"/>
      <c r="BA186" s="151"/>
      <c r="BB186" s="151"/>
      <c r="BC186" s="151"/>
      <c r="BD186" s="151"/>
      <c r="BE186" s="151"/>
      <c r="BF186" s="151"/>
      <c r="BG186" s="151"/>
      <c r="BH186" s="151"/>
      <c r="BI186" s="151"/>
      <c r="BJ186" s="151"/>
      <c r="BK186" s="151"/>
      <c r="BL186" s="151"/>
      <c r="BM186" s="151"/>
      <c r="BN186" s="151"/>
      <c r="BO186" s="151"/>
      <c r="BP186" s="151"/>
      <c r="BQ186" s="151"/>
      <c r="BR186" s="151"/>
    </row>
    <row r="187" s="75" customFormat="true" ht="15" hidden="false" customHeight="false" outlineLevel="0" collapsed="false">
      <c r="A187" s="141" t="s">
        <v>549</v>
      </c>
      <c r="B187" s="142" t="s">
        <v>1118</v>
      </c>
      <c r="C187" s="143" t="s">
        <v>1338</v>
      </c>
      <c r="D187" s="144"/>
      <c r="E187" s="144"/>
      <c r="F187" s="144"/>
      <c r="G187" s="145"/>
      <c r="H187" s="146" t="s">
        <v>81</v>
      </c>
      <c r="I187" s="147" t="s">
        <v>88</v>
      </c>
      <c r="J187" s="148" t="s">
        <v>1099</v>
      </c>
      <c r="K187" s="149" t="s">
        <v>88</v>
      </c>
      <c r="L187" s="150"/>
      <c r="M187" s="150"/>
      <c r="N187" s="150"/>
      <c r="O187" s="150"/>
      <c r="P187" s="150"/>
      <c r="Q187" s="150"/>
      <c r="R187" s="150"/>
      <c r="S187" s="150"/>
      <c r="T187" s="150"/>
      <c r="U187" s="150"/>
      <c r="V187" s="150"/>
      <c r="W187" s="150"/>
      <c r="X187" s="150"/>
      <c r="Y187" s="150"/>
      <c r="Z187" s="150"/>
      <c r="AA187" s="150"/>
      <c r="AB187" s="150"/>
      <c r="AC187" s="150"/>
      <c r="AD187" s="150"/>
      <c r="AE187" s="150"/>
      <c r="AF187" s="150"/>
      <c r="AG187" s="150"/>
      <c r="AH187" s="150"/>
      <c r="AI187" s="150"/>
      <c r="AJ187" s="150"/>
      <c r="AK187" s="150"/>
      <c r="AL187" s="150"/>
      <c r="AM187" s="150"/>
      <c r="AN187" s="150"/>
      <c r="AO187" s="150"/>
      <c r="AP187" s="150"/>
      <c r="AQ187" s="150"/>
      <c r="AR187" s="150"/>
      <c r="AS187" s="150"/>
      <c r="AT187" s="150"/>
      <c r="AU187" s="150"/>
      <c r="AV187" s="150"/>
      <c r="AW187" s="150"/>
      <c r="AX187" s="150"/>
      <c r="AY187" s="151"/>
      <c r="AZ187" s="151"/>
      <c r="BA187" s="151"/>
      <c r="BB187" s="151"/>
      <c r="BC187" s="151"/>
      <c r="BD187" s="151"/>
      <c r="BE187" s="151"/>
      <c r="BF187" s="151"/>
      <c r="BG187" s="151"/>
      <c r="BH187" s="151"/>
      <c r="BI187" s="151"/>
      <c r="BJ187" s="151"/>
      <c r="BK187" s="151"/>
      <c r="BL187" s="151"/>
      <c r="BM187" s="151"/>
      <c r="BN187" s="151"/>
      <c r="BO187" s="151"/>
      <c r="BP187" s="151"/>
      <c r="BQ187" s="151"/>
      <c r="BR187" s="151"/>
    </row>
    <row r="188" s="75" customFormat="true" ht="15" hidden="false" customHeight="false" outlineLevel="0" collapsed="false">
      <c r="A188" s="141" t="s">
        <v>551</v>
      </c>
      <c r="B188" s="142" t="s">
        <v>1118</v>
      </c>
      <c r="C188" s="143" t="s">
        <v>1339</v>
      </c>
      <c r="D188" s="144"/>
      <c r="E188" s="144"/>
      <c r="F188" s="144"/>
      <c r="G188" s="145"/>
      <c r="H188" s="146" t="s">
        <v>81</v>
      </c>
      <c r="I188" s="147" t="s">
        <v>88</v>
      </c>
      <c r="J188" s="148" t="s">
        <v>1099</v>
      </c>
      <c r="K188" s="149" t="s">
        <v>88</v>
      </c>
      <c r="L188" s="150"/>
      <c r="M188" s="150"/>
      <c r="N188" s="150"/>
      <c r="O188" s="150"/>
      <c r="P188" s="150"/>
      <c r="Q188" s="150"/>
      <c r="R188" s="150"/>
      <c r="S188" s="150"/>
      <c r="T188" s="150"/>
      <c r="U188" s="150"/>
      <c r="V188" s="150"/>
      <c r="W188" s="150"/>
      <c r="X188" s="150"/>
      <c r="Y188" s="150"/>
      <c r="Z188" s="150"/>
      <c r="AA188" s="150"/>
      <c r="AB188" s="150"/>
      <c r="AC188" s="150"/>
      <c r="AD188" s="150"/>
      <c r="AE188" s="150"/>
      <c r="AF188" s="150"/>
      <c r="AG188" s="150"/>
      <c r="AH188" s="150"/>
      <c r="AI188" s="150"/>
      <c r="AJ188" s="150"/>
      <c r="AK188" s="150"/>
      <c r="AL188" s="150"/>
      <c r="AM188" s="150"/>
      <c r="AN188" s="150"/>
      <c r="AO188" s="150"/>
      <c r="AP188" s="150"/>
      <c r="AQ188" s="150"/>
      <c r="AR188" s="150"/>
      <c r="AS188" s="150"/>
      <c r="AT188" s="150"/>
      <c r="AU188" s="150"/>
      <c r="AV188" s="150"/>
      <c r="AW188" s="150"/>
      <c r="AX188" s="150"/>
      <c r="AY188" s="151"/>
      <c r="AZ188" s="151"/>
      <c r="BA188" s="151"/>
      <c r="BB188" s="151"/>
      <c r="BC188" s="151"/>
      <c r="BD188" s="151"/>
      <c r="BE188" s="151"/>
      <c r="BF188" s="151"/>
      <c r="BG188" s="151"/>
      <c r="BH188" s="151"/>
      <c r="BI188" s="151"/>
      <c r="BJ188" s="151"/>
      <c r="BK188" s="151"/>
      <c r="BL188" s="151"/>
      <c r="BM188" s="151"/>
      <c r="BN188" s="151"/>
      <c r="BO188" s="151"/>
      <c r="BP188" s="151"/>
      <c r="BQ188" s="151"/>
      <c r="BR188" s="151"/>
    </row>
    <row r="189" s="75" customFormat="true" ht="15" hidden="false" customHeight="false" outlineLevel="0" collapsed="false">
      <c r="A189" s="141"/>
      <c r="B189" s="142"/>
      <c r="C189" s="143"/>
      <c r="D189" s="144"/>
      <c r="E189" s="144"/>
      <c r="F189" s="144"/>
      <c r="G189" s="145"/>
      <c r="H189" s="146"/>
      <c r="I189" s="147"/>
      <c r="J189" s="148"/>
      <c r="K189" s="149"/>
      <c r="L189" s="150"/>
      <c r="M189" s="150"/>
      <c r="N189" s="150"/>
      <c r="O189" s="150"/>
      <c r="P189" s="150"/>
      <c r="Q189" s="150"/>
      <c r="R189" s="150"/>
      <c r="S189" s="150"/>
      <c r="T189" s="150"/>
      <c r="U189" s="150"/>
      <c r="V189" s="150"/>
      <c r="W189" s="150"/>
      <c r="X189" s="150"/>
      <c r="Y189" s="150"/>
      <c r="Z189" s="150"/>
      <c r="AA189" s="150"/>
      <c r="AB189" s="150"/>
      <c r="AC189" s="150"/>
      <c r="AD189" s="150"/>
      <c r="AE189" s="150"/>
      <c r="AF189" s="150"/>
      <c r="AG189" s="150"/>
      <c r="AH189" s="150"/>
      <c r="AI189" s="150"/>
      <c r="AJ189" s="150"/>
      <c r="AK189" s="150"/>
      <c r="AL189" s="150"/>
      <c r="AM189" s="150"/>
      <c r="AN189" s="150"/>
      <c r="AO189" s="150"/>
      <c r="AP189" s="150"/>
      <c r="AQ189" s="150"/>
      <c r="AR189" s="150"/>
      <c r="AS189" s="150"/>
      <c r="AT189" s="150"/>
      <c r="AU189" s="150"/>
      <c r="AV189" s="150"/>
      <c r="AW189" s="150"/>
      <c r="AX189" s="150"/>
      <c r="AY189" s="151"/>
      <c r="AZ189" s="151"/>
      <c r="BA189" s="151"/>
      <c r="BB189" s="151"/>
      <c r="BC189" s="151"/>
      <c r="BD189" s="151"/>
      <c r="BE189" s="151"/>
      <c r="BF189" s="151"/>
      <c r="BG189" s="151"/>
      <c r="BH189" s="151"/>
      <c r="BI189" s="151"/>
      <c r="BJ189" s="151"/>
      <c r="BK189" s="151"/>
      <c r="BL189" s="151"/>
      <c r="BM189" s="151"/>
      <c r="BN189" s="151"/>
      <c r="BO189" s="151"/>
      <c r="BP189" s="151"/>
      <c r="BQ189" s="151"/>
      <c r="BR189" s="151"/>
    </row>
    <row r="190" s="75" customFormat="true" ht="15" hidden="false" customHeight="false" outlineLevel="0" collapsed="false">
      <c r="A190" s="141" t="s">
        <v>569</v>
      </c>
      <c r="B190" s="142" t="s">
        <v>1152</v>
      </c>
      <c r="C190" s="143" t="s">
        <v>1340</v>
      </c>
      <c r="D190" s="144" t="s">
        <v>1153</v>
      </c>
      <c r="E190" s="144" t="s">
        <v>1153</v>
      </c>
      <c r="F190" s="144" t="s">
        <v>1089</v>
      </c>
      <c r="G190" s="145" t="s">
        <v>1153</v>
      </c>
      <c r="H190" s="146" t="s">
        <v>81</v>
      </c>
      <c r="I190" s="147" t="s">
        <v>82</v>
      </c>
      <c r="J190" s="148" t="s">
        <v>81</v>
      </c>
      <c r="K190" s="149" t="s">
        <v>82</v>
      </c>
      <c r="L190" s="150"/>
      <c r="M190" s="150"/>
      <c r="N190" s="150"/>
      <c r="O190" s="150"/>
      <c r="P190" s="150"/>
      <c r="Q190" s="150"/>
      <c r="R190" s="150"/>
      <c r="S190" s="150"/>
      <c r="T190" s="150"/>
      <c r="U190" s="150"/>
      <c r="V190" s="150"/>
      <c r="W190" s="150"/>
      <c r="X190" s="150"/>
      <c r="Y190" s="150"/>
      <c r="Z190" s="150"/>
      <c r="AA190" s="150"/>
      <c r="AB190" s="150"/>
      <c r="AC190" s="150"/>
      <c r="AD190" s="150"/>
      <c r="AE190" s="150"/>
      <c r="AF190" s="150"/>
      <c r="AG190" s="150"/>
      <c r="AH190" s="150"/>
      <c r="AI190" s="150"/>
      <c r="AJ190" s="150"/>
      <c r="AK190" s="150"/>
      <c r="AL190" s="150"/>
      <c r="AM190" s="150"/>
      <c r="AN190" s="150"/>
      <c r="AO190" s="150"/>
      <c r="AP190" s="150"/>
      <c r="AQ190" s="150"/>
      <c r="AR190" s="150"/>
      <c r="AS190" s="150"/>
      <c r="AT190" s="150"/>
      <c r="AU190" s="150"/>
      <c r="AV190" s="150"/>
      <c r="AW190" s="150"/>
      <c r="AX190" s="150"/>
      <c r="AY190" s="151"/>
      <c r="AZ190" s="151"/>
      <c r="BA190" s="151"/>
      <c r="BB190" s="151"/>
      <c r="BC190" s="151"/>
      <c r="BD190" s="151"/>
      <c r="BE190" s="151"/>
      <c r="BF190" s="151"/>
      <c r="BG190" s="151"/>
      <c r="BH190" s="151"/>
      <c r="BI190" s="151"/>
      <c r="BJ190" s="151"/>
      <c r="BK190" s="151"/>
      <c r="BL190" s="151"/>
      <c r="BM190" s="151"/>
      <c r="BN190" s="151"/>
      <c r="BO190" s="151"/>
      <c r="BP190" s="151"/>
      <c r="BQ190" s="151"/>
      <c r="BR190" s="151"/>
    </row>
    <row r="191" s="178" customFormat="true" ht="30" hidden="false" customHeight="false" outlineLevel="0" collapsed="false">
      <c r="A191" s="141" t="s">
        <v>583</v>
      </c>
      <c r="B191" s="170" t="s">
        <v>1152</v>
      </c>
      <c r="C191" s="171" t="s">
        <v>1341</v>
      </c>
      <c r="D191" s="144" t="s">
        <v>1153</v>
      </c>
      <c r="E191" s="144" t="s">
        <v>1153</v>
      </c>
      <c r="F191" s="144" t="s">
        <v>1089</v>
      </c>
      <c r="G191" s="145" t="s">
        <v>1153</v>
      </c>
      <c r="H191" s="172" t="s">
        <v>81</v>
      </c>
      <c r="I191" s="173" t="s">
        <v>82</v>
      </c>
      <c r="J191" s="174" t="s">
        <v>81</v>
      </c>
      <c r="K191" s="175" t="s">
        <v>82</v>
      </c>
      <c r="L191" s="176"/>
      <c r="M191" s="73"/>
      <c r="N191" s="73"/>
      <c r="O191" s="73"/>
      <c r="P191" s="73"/>
      <c r="Q191" s="73"/>
      <c r="R191" s="73"/>
      <c r="S191" s="73"/>
      <c r="T191" s="73"/>
      <c r="U191" s="73"/>
      <c r="V191" s="73"/>
      <c r="W191" s="73"/>
      <c r="X191" s="177"/>
      <c r="Y191" s="177"/>
      <c r="Z191" s="177"/>
      <c r="AA191" s="177"/>
      <c r="AB191" s="177"/>
      <c r="AC191" s="177"/>
      <c r="AD191" s="177"/>
      <c r="AE191" s="177"/>
      <c r="AF191" s="177"/>
      <c r="AG191" s="177"/>
      <c r="AH191" s="177"/>
      <c r="AI191" s="177"/>
      <c r="AJ191" s="177"/>
      <c r="AK191" s="177"/>
      <c r="AL191" s="177"/>
      <c r="AM191" s="177"/>
      <c r="AN191" s="177"/>
      <c r="AO191" s="177"/>
      <c r="AP191" s="177"/>
    </row>
    <row r="192" s="178" customFormat="true" ht="15" hidden="false" customHeight="false" outlineLevel="0" collapsed="false">
      <c r="A192" s="141" t="s">
        <v>586</v>
      </c>
      <c r="B192" s="170" t="s">
        <v>1152</v>
      </c>
      <c r="C192" s="171" t="s">
        <v>1342</v>
      </c>
      <c r="D192" s="144" t="s">
        <v>1153</v>
      </c>
      <c r="E192" s="144" t="s">
        <v>1153</v>
      </c>
      <c r="F192" s="144" t="s">
        <v>1089</v>
      </c>
      <c r="G192" s="145" t="s">
        <v>1153</v>
      </c>
      <c r="H192" s="172" t="s">
        <v>81</v>
      </c>
      <c r="I192" s="173" t="s">
        <v>82</v>
      </c>
      <c r="J192" s="174" t="s">
        <v>81</v>
      </c>
      <c r="K192" s="175" t="s">
        <v>82</v>
      </c>
      <c r="L192" s="176"/>
      <c r="M192" s="73"/>
      <c r="N192" s="73"/>
      <c r="O192" s="73"/>
      <c r="P192" s="73"/>
      <c r="Q192" s="73"/>
      <c r="R192" s="73"/>
      <c r="S192" s="73"/>
      <c r="T192" s="73"/>
      <c r="U192" s="73"/>
      <c r="V192" s="73"/>
      <c r="W192" s="73"/>
      <c r="X192" s="177"/>
      <c r="Y192" s="177"/>
      <c r="Z192" s="177"/>
      <c r="AA192" s="177"/>
      <c r="AB192" s="177"/>
      <c r="AC192" s="177"/>
      <c r="AD192" s="177"/>
      <c r="AE192" s="177"/>
      <c r="AF192" s="177"/>
      <c r="AG192" s="177"/>
      <c r="AH192" s="177"/>
      <c r="AI192" s="177"/>
      <c r="AJ192" s="177"/>
      <c r="AK192" s="177"/>
      <c r="AL192" s="177"/>
      <c r="AM192" s="177"/>
      <c r="AN192" s="177"/>
      <c r="AO192" s="177"/>
      <c r="AP192" s="177"/>
    </row>
    <row r="193" s="178" customFormat="true" ht="30" hidden="false" customHeight="false" outlineLevel="0" collapsed="false">
      <c r="A193" s="141" t="s">
        <v>588</v>
      </c>
      <c r="B193" s="170" t="s">
        <v>1152</v>
      </c>
      <c r="C193" s="171" t="s">
        <v>1343</v>
      </c>
      <c r="D193" s="144" t="s">
        <v>1153</v>
      </c>
      <c r="E193" s="144" t="s">
        <v>1153</v>
      </c>
      <c r="F193" s="144" t="s">
        <v>1089</v>
      </c>
      <c r="G193" s="145" t="s">
        <v>1153</v>
      </c>
      <c r="H193" s="172" t="s">
        <v>81</v>
      </c>
      <c r="I193" s="173" t="s">
        <v>82</v>
      </c>
      <c r="J193" s="174" t="s">
        <v>81</v>
      </c>
      <c r="K193" s="175" t="s">
        <v>82</v>
      </c>
      <c r="L193" s="176"/>
      <c r="M193" s="73"/>
      <c r="N193" s="73"/>
      <c r="O193" s="73"/>
      <c r="P193" s="73"/>
      <c r="Q193" s="73"/>
      <c r="R193" s="73"/>
      <c r="S193" s="73"/>
      <c r="T193" s="73"/>
      <c r="U193" s="73"/>
      <c r="V193" s="73"/>
      <c r="W193" s="73"/>
      <c r="X193" s="177"/>
      <c r="Y193" s="177"/>
      <c r="Z193" s="177"/>
      <c r="AA193" s="177"/>
      <c r="AB193" s="177"/>
      <c r="AC193" s="177"/>
      <c r="AD193" s="177"/>
      <c r="AE193" s="177"/>
      <c r="AF193" s="177"/>
      <c r="AG193" s="177"/>
      <c r="AH193" s="177"/>
      <c r="AI193" s="177"/>
      <c r="AJ193" s="177"/>
      <c r="AK193" s="177"/>
      <c r="AL193" s="177"/>
      <c r="AM193" s="177"/>
      <c r="AN193" s="177"/>
      <c r="AO193" s="177"/>
      <c r="AP193" s="177"/>
    </row>
    <row r="194" s="178" customFormat="true" ht="30" hidden="false" customHeight="false" outlineLevel="0" collapsed="false">
      <c r="A194" s="179" t="s">
        <v>590</v>
      </c>
      <c r="B194" s="170" t="s">
        <v>1152</v>
      </c>
      <c r="C194" s="171" t="s">
        <v>1344</v>
      </c>
      <c r="D194" s="144" t="s">
        <v>1153</v>
      </c>
      <c r="E194" s="144" t="s">
        <v>1153</v>
      </c>
      <c r="F194" s="144" t="s">
        <v>1089</v>
      </c>
      <c r="G194" s="145" t="s">
        <v>1153</v>
      </c>
      <c r="H194" s="172" t="s">
        <v>81</v>
      </c>
      <c r="I194" s="173" t="s">
        <v>82</v>
      </c>
      <c r="J194" s="174" t="s">
        <v>81</v>
      </c>
      <c r="K194" s="175" t="s">
        <v>82</v>
      </c>
      <c r="L194" s="176"/>
      <c r="M194" s="73"/>
      <c r="N194" s="73"/>
      <c r="O194" s="73"/>
      <c r="P194" s="73"/>
      <c r="Q194" s="73"/>
      <c r="R194" s="73"/>
      <c r="S194" s="73"/>
      <c r="T194" s="73"/>
      <c r="U194" s="73"/>
      <c r="V194" s="73"/>
      <c r="W194" s="73"/>
      <c r="X194" s="177"/>
      <c r="Y194" s="177"/>
      <c r="Z194" s="177"/>
      <c r="AA194" s="177"/>
      <c r="AB194" s="177"/>
      <c r="AC194" s="177"/>
      <c r="AD194" s="177"/>
      <c r="AE194" s="177"/>
      <c r="AF194" s="177"/>
      <c r="AG194" s="177"/>
      <c r="AH194" s="177"/>
      <c r="AI194" s="177"/>
      <c r="AJ194" s="177"/>
      <c r="AK194" s="177"/>
      <c r="AL194" s="177"/>
      <c r="AM194" s="177"/>
      <c r="AN194" s="177"/>
      <c r="AO194" s="177"/>
      <c r="AP194" s="177"/>
    </row>
    <row r="195" s="178" customFormat="true" ht="15" hidden="false" customHeight="false" outlineLevel="0" collapsed="false">
      <c r="A195" s="179"/>
      <c r="B195" s="170"/>
      <c r="C195" s="171"/>
      <c r="D195" s="75"/>
      <c r="E195" s="75"/>
      <c r="F195" s="75"/>
      <c r="G195" s="75"/>
      <c r="H195" s="172"/>
      <c r="I195" s="173"/>
      <c r="J195" s="174"/>
      <c r="K195" s="175"/>
      <c r="L195" s="176"/>
      <c r="M195" s="73"/>
      <c r="N195" s="73"/>
      <c r="O195" s="73"/>
      <c r="P195" s="73"/>
      <c r="Q195" s="73"/>
      <c r="R195" s="73"/>
      <c r="S195" s="73"/>
      <c r="T195" s="73"/>
      <c r="U195" s="73"/>
      <c r="V195" s="73"/>
      <c r="W195" s="73"/>
      <c r="X195" s="177"/>
      <c r="Y195" s="177"/>
      <c r="Z195" s="177"/>
      <c r="AA195" s="177"/>
      <c r="AB195" s="177"/>
      <c r="AC195" s="177"/>
      <c r="AD195" s="177"/>
      <c r="AE195" s="177"/>
      <c r="AF195" s="177"/>
      <c r="AG195" s="177"/>
      <c r="AH195" s="177"/>
      <c r="AI195" s="177"/>
      <c r="AJ195" s="177"/>
      <c r="AK195" s="177"/>
      <c r="AL195" s="177"/>
      <c r="AM195" s="177"/>
      <c r="AN195" s="177"/>
      <c r="AO195" s="177"/>
      <c r="AP195" s="177"/>
    </row>
    <row r="196" s="75" customFormat="true" ht="15" hidden="false" customHeight="false" outlineLevel="0" collapsed="false">
      <c r="A196" s="141"/>
      <c r="B196" s="142"/>
      <c r="C196" s="143"/>
      <c r="D196" s="144"/>
      <c r="E196" s="144"/>
      <c r="F196" s="144"/>
      <c r="G196" s="145"/>
      <c r="H196" s="146"/>
      <c r="I196" s="147"/>
      <c r="J196" s="148"/>
      <c r="K196" s="149"/>
      <c r="L196" s="150"/>
      <c r="M196" s="150"/>
      <c r="N196" s="150"/>
      <c r="O196" s="150"/>
      <c r="P196" s="150"/>
      <c r="Q196" s="150"/>
      <c r="R196" s="150"/>
      <c r="S196" s="150"/>
      <c r="T196" s="150"/>
      <c r="U196" s="150"/>
      <c r="V196" s="150"/>
      <c r="W196" s="150"/>
      <c r="X196" s="150"/>
      <c r="Y196" s="150"/>
      <c r="Z196" s="150"/>
      <c r="AA196" s="150"/>
      <c r="AB196" s="150"/>
      <c r="AC196" s="150"/>
      <c r="AD196" s="150"/>
      <c r="AE196" s="150"/>
      <c r="AF196" s="150"/>
      <c r="AG196" s="150"/>
      <c r="AH196" s="150"/>
      <c r="AI196" s="150"/>
      <c r="AJ196" s="150"/>
      <c r="AK196" s="150"/>
      <c r="AL196" s="150"/>
      <c r="AM196" s="150"/>
      <c r="AN196" s="150"/>
      <c r="AO196" s="150"/>
      <c r="AP196" s="150"/>
      <c r="AQ196" s="150"/>
      <c r="AR196" s="150"/>
      <c r="AS196" s="150"/>
      <c r="AT196" s="150"/>
      <c r="AU196" s="150"/>
      <c r="AV196" s="150"/>
      <c r="AW196" s="150"/>
      <c r="AX196" s="150"/>
      <c r="AY196" s="151"/>
      <c r="AZ196" s="151"/>
      <c r="BA196" s="151"/>
      <c r="BB196" s="151"/>
      <c r="BC196" s="151"/>
      <c r="BD196" s="151"/>
      <c r="BE196" s="151"/>
      <c r="BF196" s="151"/>
      <c r="BG196" s="151"/>
      <c r="BH196" s="151"/>
      <c r="BI196" s="151"/>
      <c r="BJ196" s="151"/>
      <c r="BK196" s="151"/>
      <c r="BL196" s="151"/>
      <c r="BM196" s="151"/>
      <c r="BN196" s="151"/>
      <c r="BO196" s="151"/>
      <c r="BP196" s="151"/>
      <c r="BQ196" s="151"/>
      <c r="BR196" s="151"/>
    </row>
    <row r="197" s="75" customFormat="true" ht="15" hidden="false" customHeight="false" outlineLevel="0" collapsed="false">
      <c r="A197" s="141" t="s">
        <v>596</v>
      </c>
      <c r="B197" s="142" t="s">
        <v>1090</v>
      </c>
      <c r="C197" s="143" t="s">
        <v>597</v>
      </c>
      <c r="D197" s="144"/>
      <c r="E197" s="144"/>
      <c r="F197" s="144"/>
      <c r="G197" s="145"/>
      <c r="H197" s="146" t="s">
        <v>231</v>
      </c>
      <c r="I197" s="147" t="s">
        <v>88</v>
      </c>
      <c r="J197" s="148" t="s">
        <v>231</v>
      </c>
      <c r="K197" s="149" t="s">
        <v>88</v>
      </c>
      <c r="L197" s="150" t="s">
        <v>1345</v>
      </c>
      <c r="M197" s="150" t="s">
        <v>1346</v>
      </c>
      <c r="N197" s="150" t="s">
        <v>1347</v>
      </c>
      <c r="O197" s="150" t="s">
        <v>1195</v>
      </c>
      <c r="P197" s="150"/>
      <c r="Q197" s="150"/>
      <c r="R197" s="150"/>
      <c r="S197" s="150"/>
      <c r="T197" s="150"/>
      <c r="U197" s="150"/>
      <c r="V197" s="150"/>
      <c r="W197" s="150"/>
      <c r="X197" s="150"/>
      <c r="Y197" s="150"/>
      <c r="Z197" s="150"/>
      <c r="AA197" s="150"/>
      <c r="AB197" s="150"/>
      <c r="AC197" s="150"/>
      <c r="AD197" s="150"/>
      <c r="AE197" s="150"/>
      <c r="AF197" s="150"/>
      <c r="AG197" s="150"/>
      <c r="AH197" s="150"/>
      <c r="AI197" s="150"/>
      <c r="AJ197" s="150"/>
      <c r="AK197" s="150"/>
      <c r="AL197" s="150"/>
      <c r="AM197" s="150"/>
      <c r="AN197" s="150"/>
      <c r="AO197" s="150"/>
      <c r="AP197" s="150"/>
      <c r="AQ197" s="150"/>
      <c r="AR197" s="150"/>
      <c r="AS197" s="150"/>
      <c r="AT197" s="150"/>
      <c r="AU197" s="150"/>
      <c r="AV197" s="150"/>
      <c r="AW197" s="150"/>
      <c r="AX197" s="150"/>
      <c r="AY197" s="151"/>
      <c r="AZ197" s="151"/>
      <c r="BA197" s="151"/>
      <c r="BB197" s="151"/>
      <c r="BC197" s="151"/>
      <c r="BD197" s="151"/>
      <c r="BE197" s="151"/>
      <c r="BF197" s="151"/>
      <c r="BG197" s="151"/>
      <c r="BH197" s="151"/>
      <c r="BI197" s="151"/>
      <c r="BJ197" s="151"/>
      <c r="BK197" s="151"/>
      <c r="BL197" s="151"/>
      <c r="BM197" s="151"/>
      <c r="BN197" s="151"/>
      <c r="BO197" s="151"/>
      <c r="BP197" s="151"/>
      <c r="BQ197" s="151"/>
      <c r="BR197" s="151"/>
    </row>
    <row r="198" s="75" customFormat="true" ht="15" hidden="false" customHeight="false" outlineLevel="0" collapsed="false">
      <c r="A198" s="141"/>
      <c r="B198" s="142"/>
      <c r="C198" s="143"/>
      <c r="D198" s="144"/>
      <c r="E198" s="144"/>
      <c r="F198" s="144"/>
      <c r="G198" s="145"/>
      <c r="H198" s="146"/>
      <c r="I198" s="147"/>
      <c r="J198" s="148"/>
      <c r="K198" s="149"/>
      <c r="L198" s="150"/>
      <c r="M198" s="150"/>
      <c r="N198" s="150"/>
      <c r="O198" s="150"/>
      <c r="P198" s="150"/>
      <c r="Q198" s="150"/>
      <c r="R198" s="150"/>
      <c r="S198" s="150"/>
      <c r="T198" s="150"/>
      <c r="U198" s="150"/>
      <c r="V198" s="150"/>
      <c r="W198" s="150"/>
      <c r="X198" s="150"/>
      <c r="Y198" s="150"/>
      <c r="Z198" s="150"/>
      <c r="AA198" s="150"/>
      <c r="AB198" s="150"/>
      <c r="AC198" s="150"/>
      <c r="AD198" s="150"/>
      <c r="AE198" s="150"/>
      <c r="AF198" s="150"/>
      <c r="AG198" s="150"/>
      <c r="AH198" s="150"/>
      <c r="AI198" s="150"/>
      <c r="AJ198" s="150"/>
      <c r="AK198" s="150"/>
      <c r="AL198" s="150"/>
      <c r="AM198" s="150"/>
      <c r="AN198" s="150"/>
      <c r="AO198" s="150"/>
      <c r="AP198" s="150"/>
      <c r="AQ198" s="150"/>
      <c r="AR198" s="150"/>
      <c r="AS198" s="150"/>
      <c r="AT198" s="150"/>
      <c r="AU198" s="150"/>
      <c r="AV198" s="150"/>
      <c r="AW198" s="150"/>
      <c r="AX198" s="150"/>
      <c r="AY198" s="151"/>
      <c r="AZ198" s="151"/>
      <c r="BA198" s="151"/>
      <c r="BB198" s="151"/>
      <c r="BC198" s="151"/>
      <c r="BD198" s="151"/>
      <c r="BE198" s="151"/>
      <c r="BF198" s="151"/>
      <c r="BG198" s="151"/>
      <c r="BH198" s="151"/>
      <c r="BI198" s="151"/>
      <c r="BJ198" s="151"/>
      <c r="BK198" s="151"/>
      <c r="BL198" s="151"/>
      <c r="BM198" s="151"/>
      <c r="BN198" s="151"/>
      <c r="BO198" s="151"/>
      <c r="BP198" s="151"/>
      <c r="BQ198" s="151"/>
      <c r="BR198" s="151"/>
    </row>
    <row r="199" s="178" customFormat="true" ht="30" hidden="false" customHeight="false" outlineLevel="0" collapsed="false">
      <c r="A199" s="141" t="s">
        <v>614</v>
      </c>
      <c r="B199" s="170" t="s">
        <v>1152</v>
      </c>
      <c r="C199" s="171" t="s">
        <v>1348</v>
      </c>
      <c r="D199" s="144" t="s">
        <v>1153</v>
      </c>
      <c r="E199" s="144" t="s">
        <v>1153</v>
      </c>
      <c r="F199" s="144" t="s">
        <v>1089</v>
      </c>
      <c r="G199" s="145" t="s">
        <v>1153</v>
      </c>
      <c r="H199" s="172" t="s">
        <v>81</v>
      </c>
      <c r="I199" s="173" t="s">
        <v>82</v>
      </c>
      <c r="J199" s="174" t="s">
        <v>81</v>
      </c>
      <c r="K199" s="175" t="s">
        <v>82</v>
      </c>
      <c r="L199" s="176"/>
      <c r="M199" s="73"/>
      <c r="N199" s="73"/>
      <c r="O199" s="73"/>
      <c r="P199" s="73"/>
      <c r="Q199" s="73"/>
      <c r="R199" s="73"/>
      <c r="S199" s="73"/>
      <c r="T199" s="73"/>
      <c r="U199" s="73"/>
      <c r="V199" s="73"/>
      <c r="W199" s="73"/>
      <c r="X199" s="177"/>
      <c r="Y199" s="177"/>
      <c r="Z199" s="177"/>
      <c r="AA199" s="177"/>
      <c r="AB199" s="177"/>
      <c r="AC199" s="177"/>
      <c r="AD199" s="177"/>
      <c r="AE199" s="177"/>
      <c r="AF199" s="177"/>
      <c r="AG199" s="177"/>
      <c r="AH199" s="177"/>
      <c r="AI199" s="177"/>
      <c r="AJ199" s="177"/>
      <c r="AK199" s="177"/>
      <c r="AL199" s="177"/>
      <c r="AM199" s="177"/>
      <c r="AN199" s="177"/>
      <c r="AO199" s="177"/>
      <c r="AP199" s="177"/>
    </row>
    <row r="200" s="178" customFormat="true" ht="15" hidden="false" customHeight="false" outlineLevel="0" collapsed="false">
      <c r="A200" s="141" t="s">
        <v>616</v>
      </c>
      <c r="B200" s="170" t="s">
        <v>1152</v>
      </c>
      <c r="C200" s="171" t="s">
        <v>1349</v>
      </c>
      <c r="D200" s="144" t="s">
        <v>1153</v>
      </c>
      <c r="E200" s="144" t="s">
        <v>1153</v>
      </c>
      <c r="F200" s="144" t="s">
        <v>1089</v>
      </c>
      <c r="G200" s="145" t="s">
        <v>1153</v>
      </c>
      <c r="H200" s="172" t="s">
        <v>81</v>
      </c>
      <c r="I200" s="173" t="s">
        <v>82</v>
      </c>
      <c r="J200" s="174" t="s">
        <v>81</v>
      </c>
      <c r="K200" s="175" t="s">
        <v>82</v>
      </c>
      <c r="L200" s="176"/>
      <c r="M200" s="73"/>
      <c r="N200" s="73"/>
      <c r="O200" s="73"/>
      <c r="P200" s="73"/>
      <c r="Q200" s="73"/>
      <c r="R200" s="73"/>
      <c r="S200" s="73"/>
      <c r="T200" s="73"/>
      <c r="U200" s="73"/>
      <c r="V200" s="73"/>
      <c r="W200" s="73"/>
      <c r="X200" s="177"/>
      <c r="Y200" s="177"/>
      <c r="Z200" s="177"/>
      <c r="AA200" s="177"/>
      <c r="AB200" s="177"/>
      <c r="AC200" s="177"/>
      <c r="AD200" s="177"/>
      <c r="AE200" s="177"/>
      <c r="AF200" s="177"/>
      <c r="AG200" s="177"/>
      <c r="AH200" s="177"/>
      <c r="AI200" s="177"/>
      <c r="AJ200" s="177"/>
      <c r="AK200" s="177"/>
      <c r="AL200" s="177"/>
      <c r="AM200" s="177"/>
      <c r="AN200" s="177"/>
      <c r="AO200" s="177"/>
      <c r="AP200" s="177"/>
    </row>
    <row r="201" s="178" customFormat="true" ht="30" hidden="false" customHeight="false" outlineLevel="0" collapsed="false">
      <c r="A201" s="141" t="s">
        <v>618</v>
      </c>
      <c r="B201" s="170" t="s">
        <v>1152</v>
      </c>
      <c r="C201" s="171" t="s">
        <v>1350</v>
      </c>
      <c r="D201" s="144" t="s">
        <v>1153</v>
      </c>
      <c r="E201" s="144" t="s">
        <v>1153</v>
      </c>
      <c r="F201" s="144" t="s">
        <v>1089</v>
      </c>
      <c r="G201" s="145" t="s">
        <v>1153</v>
      </c>
      <c r="H201" s="172" t="s">
        <v>81</v>
      </c>
      <c r="I201" s="173" t="s">
        <v>82</v>
      </c>
      <c r="J201" s="174" t="s">
        <v>81</v>
      </c>
      <c r="K201" s="175" t="s">
        <v>82</v>
      </c>
      <c r="L201" s="176"/>
      <c r="M201" s="73"/>
      <c r="N201" s="73"/>
      <c r="O201" s="73"/>
      <c r="P201" s="73"/>
      <c r="Q201" s="73"/>
      <c r="R201" s="73"/>
      <c r="S201" s="73"/>
      <c r="T201" s="73"/>
      <c r="U201" s="73"/>
      <c r="V201" s="73"/>
      <c r="W201" s="73"/>
      <c r="X201" s="177"/>
      <c r="Y201" s="177"/>
      <c r="Z201" s="177"/>
      <c r="AA201" s="177"/>
      <c r="AB201" s="177"/>
      <c r="AC201" s="177"/>
      <c r="AD201" s="177"/>
      <c r="AE201" s="177"/>
      <c r="AF201" s="177"/>
      <c r="AG201" s="177"/>
      <c r="AH201" s="177"/>
      <c r="AI201" s="177"/>
      <c r="AJ201" s="177"/>
      <c r="AK201" s="177"/>
      <c r="AL201" s="177"/>
      <c r="AM201" s="177"/>
      <c r="AN201" s="177"/>
      <c r="AO201" s="177"/>
      <c r="AP201" s="177"/>
    </row>
    <row r="202" s="178" customFormat="true" ht="30" hidden="false" customHeight="false" outlineLevel="0" collapsed="false">
      <c r="A202" s="179" t="s">
        <v>620</v>
      </c>
      <c r="B202" s="170" t="s">
        <v>1152</v>
      </c>
      <c r="C202" s="171" t="s">
        <v>1351</v>
      </c>
      <c r="D202" s="144" t="s">
        <v>1153</v>
      </c>
      <c r="E202" s="144" t="s">
        <v>1153</v>
      </c>
      <c r="F202" s="144" t="s">
        <v>1089</v>
      </c>
      <c r="G202" s="145" t="s">
        <v>1153</v>
      </c>
      <c r="H202" s="172" t="s">
        <v>81</v>
      </c>
      <c r="I202" s="173" t="s">
        <v>82</v>
      </c>
      <c r="J202" s="174" t="s">
        <v>81</v>
      </c>
      <c r="K202" s="175" t="s">
        <v>82</v>
      </c>
      <c r="L202" s="176"/>
      <c r="M202" s="73"/>
      <c r="N202" s="73"/>
      <c r="O202" s="73"/>
      <c r="P202" s="73"/>
      <c r="Q202" s="73"/>
      <c r="R202" s="73"/>
      <c r="S202" s="73"/>
      <c r="T202" s="73"/>
      <c r="U202" s="73"/>
      <c r="V202" s="73"/>
      <c r="W202" s="73"/>
      <c r="X202" s="177"/>
      <c r="Y202" s="177"/>
      <c r="Z202" s="177"/>
      <c r="AA202" s="177"/>
      <c r="AB202" s="177"/>
      <c r="AC202" s="177"/>
      <c r="AD202" s="177"/>
      <c r="AE202" s="177"/>
      <c r="AF202" s="177"/>
      <c r="AG202" s="177"/>
      <c r="AH202" s="177"/>
      <c r="AI202" s="177"/>
      <c r="AJ202" s="177"/>
      <c r="AK202" s="177"/>
      <c r="AL202" s="177"/>
      <c r="AM202" s="177"/>
      <c r="AN202" s="177"/>
      <c r="AO202" s="177"/>
      <c r="AP202" s="177"/>
    </row>
    <row r="203" s="178" customFormat="true" ht="15" hidden="false" customHeight="false" outlineLevel="0" collapsed="false">
      <c r="A203" s="179"/>
      <c r="B203" s="170"/>
      <c r="C203" s="171"/>
      <c r="H203" s="172"/>
      <c r="I203" s="173"/>
      <c r="J203" s="174"/>
      <c r="K203" s="175"/>
      <c r="L203" s="176"/>
      <c r="M203" s="73"/>
      <c r="N203" s="73"/>
      <c r="O203" s="73"/>
      <c r="P203" s="73"/>
      <c r="Q203" s="73"/>
      <c r="R203" s="73"/>
      <c r="S203" s="73"/>
      <c r="T203" s="73"/>
      <c r="U203" s="73"/>
      <c r="V203" s="73"/>
      <c r="W203" s="73"/>
      <c r="X203" s="177"/>
      <c r="Y203" s="177"/>
      <c r="Z203" s="177"/>
      <c r="AA203" s="177"/>
      <c r="AB203" s="177"/>
      <c r="AC203" s="177"/>
      <c r="AD203" s="177"/>
      <c r="AE203" s="177"/>
      <c r="AF203" s="177"/>
      <c r="AG203" s="177"/>
      <c r="AH203" s="177"/>
      <c r="AI203" s="177"/>
      <c r="AJ203" s="177"/>
      <c r="AK203" s="177"/>
      <c r="AL203" s="177"/>
      <c r="AM203" s="177"/>
      <c r="AN203" s="177"/>
      <c r="AO203" s="177"/>
      <c r="AP203" s="177"/>
    </row>
    <row r="204" s="75" customFormat="true" ht="15" hidden="false" customHeight="false" outlineLevel="0" collapsed="false">
      <c r="A204" s="141" t="s">
        <v>648</v>
      </c>
      <c r="B204" s="142" t="s">
        <v>1152</v>
      </c>
      <c r="C204" s="143" t="s">
        <v>1352</v>
      </c>
      <c r="D204" s="144" t="s">
        <v>1153</v>
      </c>
      <c r="E204" s="144" t="s">
        <v>1153</v>
      </c>
      <c r="F204" s="144" t="s">
        <v>1089</v>
      </c>
      <c r="G204" s="145" t="s">
        <v>1153</v>
      </c>
      <c r="H204" s="146" t="s">
        <v>81</v>
      </c>
      <c r="I204" s="147" t="s">
        <v>82</v>
      </c>
      <c r="J204" s="148" t="s">
        <v>81</v>
      </c>
      <c r="K204" s="149" t="s">
        <v>82</v>
      </c>
      <c r="L204" s="150"/>
      <c r="M204" s="150"/>
      <c r="N204" s="150"/>
      <c r="O204" s="150"/>
      <c r="P204" s="150"/>
      <c r="Q204" s="150"/>
      <c r="R204" s="150"/>
      <c r="S204" s="150"/>
      <c r="T204" s="150"/>
      <c r="U204" s="150"/>
      <c r="V204" s="150"/>
      <c r="W204" s="150"/>
      <c r="X204" s="150"/>
      <c r="Y204" s="150"/>
      <c r="Z204" s="150"/>
      <c r="AA204" s="150"/>
      <c r="AB204" s="150"/>
      <c r="AC204" s="150"/>
      <c r="AD204" s="150"/>
      <c r="AE204" s="150"/>
      <c r="AF204" s="150"/>
      <c r="AG204" s="150"/>
      <c r="AH204" s="150"/>
      <c r="AI204" s="150"/>
      <c r="AJ204" s="150"/>
      <c r="AK204" s="150"/>
      <c r="AL204" s="150"/>
      <c r="AM204" s="150"/>
      <c r="AN204" s="150"/>
      <c r="AO204" s="150"/>
      <c r="AP204" s="150"/>
      <c r="AQ204" s="150"/>
      <c r="AR204" s="150"/>
      <c r="AS204" s="150"/>
      <c r="AT204" s="150"/>
      <c r="AU204" s="150"/>
      <c r="AV204" s="150"/>
      <c r="AW204" s="150"/>
      <c r="AX204" s="150"/>
      <c r="AY204" s="151"/>
      <c r="AZ204" s="151"/>
      <c r="BA204" s="151"/>
      <c r="BB204" s="151"/>
      <c r="BC204" s="151"/>
      <c r="BD204" s="151"/>
      <c r="BE204" s="151"/>
      <c r="BF204" s="151"/>
      <c r="BG204" s="151"/>
      <c r="BH204" s="151"/>
      <c r="BI204" s="151"/>
      <c r="BJ204" s="151"/>
      <c r="BK204" s="151"/>
      <c r="BL204" s="151"/>
      <c r="BM204" s="151"/>
      <c r="BN204" s="151"/>
      <c r="BO204" s="151"/>
      <c r="BP204" s="151"/>
      <c r="BQ204" s="151"/>
      <c r="BR204" s="151"/>
    </row>
    <row r="205" s="75" customFormat="true" ht="15" hidden="false" customHeight="false" outlineLevel="0" collapsed="false">
      <c r="A205" s="141" t="s">
        <v>650</v>
      </c>
      <c r="B205" s="142" t="s">
        <v>1152</v>
      </c>
      <c r="C205" s="143" t="s">
        <v>651</v>
      </c>
      <c r="D205" s="144" t="s">
        <v>1153</v>
      </c>
      <c r="E205" s="144" t="s">
        <v>1153</v>
      </c>
      <c r="F205" s="144" t="s">
        <v>1089</v>
      </c>
      <c r="G205" s="145" t="s">
        <v>1153</v>
      </c>
      <c r="H205" s="146" t="s">
        <v>81</v>
      </c>
      <c r="I205" s="147" t="s">
        <v>82</v>
      </c>
      <c r="J205" s="148" t="s">
        <v>81</v>
      </c>
      <c r="K205" s="149" t="s">
        <v>82</v>
      </c>
      <c r="L205" s="150"/>
      <c r="M205" s="150"/>
      <c r="N205" s="150"/>
      <c r="O205" s="150"/>
      <c r="P205" s="150"/>
      <c r="Q205" s="150"/>
      <c r="R205" s="150"/>
      <c r="S205" s="150"/>
      <c r="T205" s="150"/>
      <c r="U205" s="150"/>
      <c r="V205" s="150"/>
      <c r="W205" s="150"/>
      <c r="X205" s="150"/>
      <c r="Y205" s="150"/>
      <c r="Z205" s="150"/>
      <c r="AA205" s="150"/>
      <c r="AB205" s="150"/>
      <c r="AC205" s="150"/>
      <c r="AD205" s="150"/>
      <c r="AE205" s="150"/>
      <c r="AF205" s="150"/>
      <c r="AG205" s="150"/>
      <c r="AH205" s="150"/>
      <c r="AI205" s="150"/>
      <c r="AJ205" s="150"/>
      <c r="AK205" s="150"/>
      <c r="AL205" s="150"/>
      <c r="AM205" s="150"/>
      <c r="AN205" s="150"/>
      <c r="AO205" s="150"/>
      <c r="AP205" s="150"/>
      <c r="AQ205" s="150"/>
      <c r="AR205" s="150"/>
      <c r="AS205" s="150"/>
      <c r="AT205" s="150"/>
      <c r="AU205" s="150"/>
      <c r="AV205" s="150"/>
      <c r="AW205" s="150"/>
      <c r="AX205" s="150"/>
      <c r="AY205" s="151"/>
      <c r="AZ205" s="151"/>
      <c r="BA205" s="151"/>
      <c r="BB205" s="151"/>
      <c r="BC205" s="151"/>
      <c r="BD205" s="151"/>
      <c r="BE205" s="151"/>
      <c r="BF205" s="151"/>
      <c r="BG205" s="151"/>
      <c r="BH205" s="151"/>
      <c r="BI205" s="151"/>
      <c r="BJ205" s="151"/>
      <c r="BK205" s="151"/>
      <c r="BL205" s="151"/>
      <c r="BM205" s="151"/>
      <c r="BN205" s="151"/>
      <c r="BO205" s="151"/>
      <c r="BP205" s="151"/>
      <c r="BQ205" s="151"/>
      <c r="BR205" s="151"/>
    </row>
    <row r="206" s="75" customFormat="true" ht="15" hidden="false" customHeight="false" outlineLevel="0" collapsed="false">
      <c r="A206" s="141"/>
      <c r="B206" s="142"/>
      <c r="C206" s="143"/>
      <c r="D206" s="144"/>
      <c r="E206" s="144"/>
      <c r="F206" s="144"/>
      <c r="G206" s="145"/>
      <c r="H206" s="146"/>
      <c r="I206" s="147"/>
      <c r="J206" s="148"/>
      <c r="K206" s="149"/>
      <c r="L206" s="150"/>
      <c r="M206" s="150"/>
      <c r="N206" s="150"/>
      <c r="O206" s="150"/>
      <c r="P206" s="150"/>
      <c r="Q206" s="150"/>
      <c r="R206" s="150"/>
      <c r="S206" s="150"/>
      <c r="T206" s="150"/>
      <c r="U206" s="150"/>
      <c r="V206" s="150"/>
      <c r="W206" s="150"/>
      <c r="X206" s="150"/>
      <c r="Y206" s="150"/>
      <c r="Z206" s="150"/>
      <c r="AA206" s="150"/>
      <c r="AB206" s="150"/>
      <c r="AC206" s="150"/>
      <c r="AD206" s="150"/>
      <c r="AE206" s="150"/>
      <c r="AF206" s="150"/>
      <c r="AG206" s="150"/>
      <c r="AH206" s="150"/>
      <c r="AI206" s="150"/>
      <c r="AJ206" s="150"/>
      <c r="AK206" s="150"/>
      <c r="AL206" s="150"/>
      <c r="AM206" s="150"/>
      <c r="AN206" s="150"/>
      <c r="AO206" s="150"/>
      <c r="AP206" s="150"/>
      <c r="AQ206" s="150"/>
      <c r="AR206" s="150"/>
      <c r="AS206" s="150"/>
      <c r="AT206" s="150"/>
      <c r="AU206" s="150"/>
      <c r="AV206" s="150"/>
      <c r="AW206" s="150"/>
      <c r="AX206" s="150"/>
      <c r="AY206" s="151"/>
      <c r="AZ206" s="151"/>
      <c r="BA206" s="151"/>
      <c r="BB206" s="151"/>
      <c r="BC206" s="151"/>
      <c r="BD206" s="151"/>
      <c r="BE206" s="151"/>
      <c r="BF206" s="151"/>
      <c r="BG206" s="151"/>
      <c r="BH206" s="151"/>
      <c r="BI206" s="151"/>
      <c r="BJ206" s="151"/>
      <c r="BK206" s="151"/>
      <c r="BL206" s="151"/>
      <c r="BM206" s="151"/>
      <c r="BN206" s="151"/>
      <c r="BO206" s="151"/>
      <c r="BP206" s="151"/>
      <c r="BQ206" s="151"/>
      <c r="BR206" s="151"/>
    </row>
    <row r="207" s="75" customFormat="true" ht="30" hidden="false" customHeight="false" outlineLevel="0" collapsed="false">
      <c r="A207" s="141" t="s">
        <v>654</v>
      </c>
      <c r="B207" s="142" t="s">
        <v>1152</v>
      </c>
      <c r="C207" s="143" t="s">
        <v>1353</v>
      </c>
      <c r="D207" s="144" t="s">
        <v>1153</v>
      </c>
      <c r="E207" s="144" t="s">
        <v>1153</v>
      </c>
      <c r="F207" s="144" t="s">
        <v>1089</v>
      </c>
      <c r="G207" s="145" t="s">
        <v>1153</v>
      </c>
      <c r="H207" s="146" t="s">
        <v>231</v>
      </c>
      <c r="I207" s="147" t="s">
        <v>82</v>
      </c>
      <c r="J207" s="148" t="s">
        <v>231</v>
      </c>
      <c r="K207" s="149" t="s">
        <v>82</v>
      </c>
      <c r="L207" s="150" t="s">
        <v>1313</v>
      </c>
      <c r="M207" s="150"/>
      <c r="N207" s="150"/>
      <c r="O207" s="150"/>
      <c r="P207" s="150"/>
      <c r="Q207" s="150"/>
      <c r="R207" s="150"/>
      <c r="S207" s="150"/>
      <c r="T207" s="150"/>
      <c r="U207" s="150"/>
      <c r="V207" s="150"/>
      <c r="W207" s="150"/>
      <c r="X207" s="150"/>
      <c r="Y207" s="150"/>
      <c r="Z207" s="150"/>
      <c r="AA207" s="150"/>
      <c r="AB207" s="150"/>
      <c r="AC207" s="150"/>
      <c r="AD207" s="150"/>
      <c r="AE207" s="150"/>
      <c r="AF207" s="150"/>
      <c r="AG207" s="150"/>
      <c r="AH207" s="150"/>
      <c r="AI207" s="150"/>
      <c r="AJ207" s="150"/>
      <c r="AK207" s="150"/>
      <c r="AL207" s="150"/>
      <c r="AM207" s="150"/>
      <c r="AN207" s="150"/>
      <c r="AO207" s="150"/>
      <c r="AP207" s="150"/>
      <c r="AQ207" s="150"/>
      <c r="AR207" s="150"/>
      <c r="AS207" s="150"/>
      <c r="AT207" s="150"/>
      <c r="AU207" s="150"/>
      <c r="AV207" s="150"/>
      <c r="AW207" s="150"/>
      <c r="AX207" s="150"/>
      <c r="AY207" s="151"/>
      <c r="AZ207" s="151"/>
      <c r="BA207" s="151"/>
      <c r="BB207" s="151"/>
      <c r="BC207" s="151"/>
      <c r="BD207" s="151"/>
      <c r="BE207" s="151"/>
      <c r="BF207" s="151"/>
      <c r="BG207" s="151"/>
      <c r="BH207" s="151"/>
      <c r="BI207" s="151"/>
      <c r="BJ207" s="151"/>
      <c r="BK207" s="151"/>
      <c r="BL207" s="151"/>
      <c r="BM207" s="151"/>
      <c r="BN207" s="151"/>
      <c r="BO207" s="151"/>
      <c r="BP207" s="151"/>
      <c r="BQ207" s="151"/>
      <c r="BR207" s="151"/>
    </row>
    <row r="208" s="75" customFormat="true" ht="15" hidden="false" customHeight="false" outlineLevel="0" collapsed="false">
      <c r="A208" s="141"/>
      <c r="B208" s="142"/>
      <c r="C208" s="143"/>
      <c r="D208" s="144"/>
      <c r="E208" s="144"/>
      <c r="F208" s="144"/>
      <c r="G208" s="145"/>
      <c r="H208" s="146"/>
      <c r="I208" s="147"/>
      <c r="J208" s="148"/>
      <c r="K208" s="149"/>
      <c r="L208" s="150"/>
      <c r="M208" s="150"/>
      <c r="N208" s="150"/>
      <c r="O208" s="150"/>
      <c r="P208" s="150"/>
      <c r="Q208" s="150"/>
      <c r="R208" s="150"/>
      <c r="S208" s="150"/>
      <c r="T208" s="150"/>
      <c r="U208" s="150"/>
      <c r="V208" s="150"/>
      <c r="W208" s="150"/>
      <c r="X208" s="150"/>
      <c r="Y208" s="150"/>
      <c r="Z208" s="150"/>
      <c r="AA208" s="150"/>
      <c r="AB208" s="150"/>
      <c r="AC208" s="150"/>
      <c r="AD208" s="150"/>
      <c r="AE208" s="150"/>
      <c r="AF208" s="150"/>
      <c r="AG208" s="150"/>
      <c r="AH208" s="150"/>
      <c r="AI208" s="150"/>
      <c r="AJ208" s="150"/>
      <c r="AK208" s="150"/>
      <c r="AL208" s="150"/>
      <c r="AM208" s="150"/>
      <c r="AN208" s="150"/>
      <c r="AO208" s="150"/>
      <c r="AP208" s="150"/>
      <c r="AQ208" s="150"/>
      <c r="AR208" s="150"/>
      <c r="AS208" s="150"/>
      <c r="AT208" s="150"/>
      <c r="AU208" s="150"/>
      <c r="AV208" s="150"/>
      <c r="AW208" s="150"/>
      <c r="AX208" s="150"/>
      <c r="AY208" s="151"/>
      <c r="AZ208" s="151"/>
      <c r="BA208" s="151"/>
      <c r="BB208" s="151"/>
      <c r="BC208" s="151"/>
      <c r="BD208" s="151"/>
      <c r="BE208" s="151"/>
      <c r="BF208" s="151"/>
      <c r="BG208" s="151"/>
      <c r="BH208" s="151"/>
      <c r="BI208" s="151"/>
      <c r="BJ208" s="151"/>
      <c r="BK208" s="151"/>
      <c r="BL208" s="151"/>
      <c r="BM208" s="151"/>
      <c r="BN208" s="151"/>
      <c r="BO208" s="151"/>
      <c r="BP208" s="151"/>
      <c r="BQ208" s="151"/>
      <c r="BR208" s="151"/>
    </row>
    <row r="209" s="75" customFormat="true" ht="15" hidden="false" customHeight="false" outlineLevel="0" collapsed="false">
      <c r="A209" s="141" t="s">
        <v>656</v>
      </c>
      <c r="B209" s="142" t="s">
        <v>1152</v>
      </c>
      <c r="C209" s="143" t="s">
        <v>1354</v>
      </c>
      <c r="D209" s="144" t="s">
        <v>1153</v>
      </c>
      <c r="E209" s="144" t="s">
        <v>1153</v>
      </c>
      <c r="F209" s="144" t="s">
        <v>1089</v>
      </c>
      <c r="G209" s="145" t="s">
        <v>1153</v>
      </c>
      <c r="H209" s="146" t="s">
        <v>81</v>
      </c>
      <c r="I209" s="147" t="s">
        <v>82</v>
      </c>
      <c r="J209" s="148" t="s">
        <v>81</v>
      </c>
      <c r="K209" s="149" t="s">
        <v>82</v>
      </c>
      <c r="L209" s="150"/>
      <c r="M209" s="150"/>
      <c r="N209" s="150"/>
      <c r="O209" s="150"/>
      <c r="P209" s="150"/>
      <c r="Q209" s="150"/>
      <c r="R209" s="150"/>
      <c r="S209" s="150"/>
      <c r="T209" s="150"/>
      <c r="U209" s="150"/>
      <c r="V209" s="150"/>
      <c r="W209" s="150"/>
      <c r="X209" s="150"/>
      <c r="Y209" s="150"/>
      <c r="Z209" s="150"/>
      <c r="AA209" s="150"/>
      <c r="AB209" s="150"/>
      <c r="AC209" s="150"/>
      <c r="AD209" s="150"/>
      <c r="AE209" s="150"/>
      <c r="AF209" s="150"/>
      <c r="AG209" s="150"/>
      <c r="AH209" s="150"/>
      <c r="AI209" s="150"/>
      <c r="AJ209" s="150"/>
      <c r="AK209" s="150"/>
      <c r="AL209" s="150"/>
      <c r="AM209" s="150"/>
      <c r="AN209" s="150"/>
      <c r="AO209" s="150"/>
      <c r="AP209" s="150"/>
      <c r="AQ209" s="150"/>
      <c r="AR209" s="150"/>
      <c r="AS209" s="150"/>
      <c r="AT209" s="150"/>
      <c r="AU209" s="150"/>
      <c r="AV209" s="150"/>
      <c r="AW209" s="150"/>
      <c r="AX209" s="150"/>
      <c r="AY209" s="151"/>
      <c r="AZ209" s="151"/>
      <c r="BA209" s="151"/>
      <c r="BB209" s="151"/>
      <c r="BC209" s="151"/>
      <c r="BD209" s="151"/>
      <c r="BE209" s="151"/>
      <c r="BF209" s="151"/>
      <c r="BG209" s="151"/>
      <c r="BH209" s="151"/>
      <c r="BI209" s="151"/>
      <c r="BJ209" s="151"/>
      <c r="BK209" s="151"/>
      <c r="BL209" s="151"/>
      <c r="BM209" s="151"/>
      <c r="BN209" s="151"/>
      <c r="BO209" s="151"/>
      <c r="BP209" s="151"/>
      <c r="BQ209" s="151"/>
      <c r="BR209" s="151"/>
    </row>
    <row r="210" s="75" customFormat="true" ht="15" hidden="false" customHeight="false" outlineLevel="0" collapsed="false">
      <c r="A210" s="141"/>
      <c r="B210" s="142"/>
      <c r="C210" s="143"/>
      <c r="D210" s="144"/>
      <c r="E210" s="144"/>
      <c r="F210" s="144"/>
      <c r="G210" s="145"/>
      <c r="H210" s="146"/>
      <c r="I210" s="147"/>
      <c r="J210" s="148"/>
      <c r="K210" s="149"/>
      <c r="L210" s="150"/>
      <c r="M210" s="150"/>
      <c r="N210" s="150"/>
      <c r="O210" s="150"/>
      <c r="P210" s="150"/>
      <c r="Q210" s="150"/>
      <c r="R210" s="150"/>
      <c r="S210" s="150"/>
      <c r="T210" s="150"/>
      <c r="U210" s="150"/>
      <c r="V210" s="150"/>
      <c r="W210" s="150"/>
      <c r="X210" s="150"/>
      <c r="Y210" s="150"/>
      <c r="Z210" s="150"/>
      <c r="AA210" s="150"/>
      <c r="AB210" s="150"/>
      <c r="AC210" s="150"/>
      <c r="AD210" s="150"/>
      <c r="AE210" s="150"/>
      <c r="AF210" s="150"/>
      <c r="AG210" s="150"/>
      <c r="AH210" s="150"/>
      <c r="AI210" s="150"/>
      <c r="AJ210" s="150"/>
      <c r="AK210" s="150"/>
      <c r="AL210" s="150"/>
      <c r="AM210" s="150"/>
      <c r="AN210" s="150"/>
      <c r="AO210" s="150"/>
      <c r="AP210" s="150"/>
      <c r="AQ210" s="150"/>
      <c r="AR210" s="150"/>
      <c r="AS210" s="150"/>
      <c r="AT210" s="150"/>
      <c r="AU210" s="150"/>
      <c r="AV210" s="150"/>
      <c r="AW210" s="150"/>
      <c r="AX210" s="150"/>
      <c r="AY210" s="151"/>
      <c r="AZ210" s="151"/>
      <c r="BA210" s="151"/>
      <c r="BB210" s="151"/>
      <c r="BC210" s="151"/>
      <c r="BD210" s="151"/>
      <c r="BE210" s="151"/>
      <c r="BF210" s="151"/>
      <c r="BG210" s="151"/>
      <c r="BH210" s="151"/>
      <c r="BI210" s="151"/>
      <c r="BJ210" s="151"/>
      <c r="BK210" s="151"/>
      <c r="BL210" s="151"/>
      <c r="BM210" s="151"/>
      <c r="BN210" s="151"/>
      <c r="BO210" s="151"/>
      <c r="BP210" s="151"/>
      <c r="BQ210" s="151"/>
      <c r="BR210" s="151"/>
    </row>
    <row r="211" s="75" customFormat="true" ht="30" hidden="false" customHeight="false" outlineLevel="0" collapsed="false">
      <c r="A211" s="141" t="s">
        <v>658</v>
      </c>
      <c r="B211" s="142" t="s">
        <v>1090</v>
      </c>
      <c r="C211" s="143" t="s">
        <v>1355</v>
      </c>
      <c r="D211" s="144"/>
      <c r="E211" s="144"/>
      <c r="F211" s="144"/>
      <c r="G211" s="145"/>
      <c r="H211" s="146" t="s">
        <v>81</v>
      </c>
      <c r="I211" s="147" t="s">
        <v>88</v>
      </c>
      <c r="J211" s="148" t="s">
        <v>81</v>
      </c>
      <c r="K211" s="149" t="s">
        <v>88</v>
      </c>
      <c r="L211" s="150" t="s">
        <v>1167</v>
      </c>
      <c r="M211" s="150" t="s">
        <v>1168</v>
      </c>
      <c r="N211" s="150" t="s">
        <v>1169</v>
      </c>
      <c r="O211" s="150" t="s">
        <v>1172</v>
      </c>
      <c r="P211" s="150" t="s">
        <v>1171</v>
      </c>
      <c r="Q211" s="150" t="s">
        <v>1097</v>
      </c>
      <c r="R211" s="150"/>
      <c r="S211" s="150"/>
      <c r="T211" s="150"/>
      <c r="U211" s="150"/>
      <c r="V211" s="150"/>
      <c r="W211" s="150"/>
      <c r="X211" s="150"/>
      <c r="Y211" s="150"/>
      <c r="Z211" s="150"/>
      <c r="AA211" s="150"/>
      <c r="AB211" s="150"/>
      <c r="AC211" s="150"/>
      <c r="AD211" s="150"/>
      <c r="AE211" s="150"/>
      <c r="AF211" s="150"/>
      <c r="AG211" s="150"/>
      <c r="AH211" s="150"/>
      <c r="AI211" s="150"/>
      <c r="AJ211" s="150"/>
      <c r="AK211" s="150"/>
      <c r="AL211" s="150"/>
      <c r="AM211" s="150"/>
      <c r="AN211" s="150"/>
      <c r="AO211" s="150"/>
      <c r="AP211" s="150"/>
      <c r="AQ211" s="150"/>
      <c r="AR211" s="150"/>
      <c r="AS211" s="150"/>
      <c r="AT211" s="150"/>
      <c r="AU211" s="150"/>
      <c r="AV211" s="150"/>
      <c r="AW211" s="150"/>
      <c r="AX211" s="150"/>
      <c r="AY211" s="151"/>
      <c r="AZ211" s="151"/>
      <c r="BA211" s="151"/>
      <c r="BB211" s="151"/>
      <c r="BC211" s="151"/>
      <c r="BD211" s="151"/>
      <c r="BE211" s="151"/>
      <c r="BF211" s="151"/>
      <c r="BG211" s="151"/>
      <c r="BH211" s="151"/>
      <c r="BI211" s="151"/>
      <c r="BJ211" s="151"/>
      <c r="BK211" s="151"/>
      <c r="BL211" s="151"/>
      <c r="BM211" s="151"/>
      <c r="BN211" s="151"/>
      <c r="BO211" s="151"/>
      <c r="BP211" s="151"/>
      <c r="BQ211" s="151"/>
      <c r="BR211" s="151"/>
    </row>
    <row r="212" s="75" customFormat="true" ht="30" hidden="false" customHeight="false" outlineLevel="0" collapsed="false">
      <c r="A212" s="141" t="s">
        <v>660</v>
      </c>
      <c r="B212" s="142" t="s">
        <v>1090</v>
      </c>
      <c r="C212" s="143" t="s">
        <v>1356</v>
      </c>
      <c r="D212" s="144"/>
      <c r="E212" s="144"/>
      <c r="F212" s="144"/>
      <c r="G212" s="145"/>
      <c r="H212" s="146" t="s">
        <v>81</v>
      </c>
      <c r="I212" s="147" t="s">
        <v>88</v>
      </c>
      <c r="J212" s="148" t="s">
        <v>81</v>
      </c>
      <c r="K212" s="149" t="s">
        <v>88</v>
      </c>
      <c r="L212" s="150" t="s">
        <v>1167</v>
      </c>
      <c r="M212" s="150" t="s">
        <v>1168</v>
      </c>
      <c r="N212" s="150" t="s">
        <v>1169</v>
      </c>
      <c r="O212" s="150" t="s">
        <v>1172</v>
      </c>
      <c r="P212" s="150" t="s">
        <v>1171</v>
      </c>
      <c r="Q212" s="150" t="s">
        <v>1097</v>
      </c>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50"/>
      <c r="AM212" s="150"/>
      <c r="AN212" s="150"/>
      <c r="AO212" s="150"/>
      <c r="AP212" s="150"/>
      <c r="AQ212" s="150"/>
      <c r="AR212" s="150"/>
      <c r="AS212" s="150"/>
      <c r="AT212" s="150"/>
      <c r="AU212" s="150"/>
      <c r="AV212" s="150"/>
      <c r="AW212" s="150"/>
      <c r="AX212" s="150"/>
      <c r="AY212" s="151"/>
      <c r="AZ212" s="151"/>
      <c r="BA212" s="151"/>
      <c r="BB212" s="151"/>
      <c r="BC212" s="151"/>
      <c r="BD212" s="151"/>
      <c r="BE212" s="151"/>
      <c r="BF212" s="151"/>
      <c r="BG212" s="151"/>
      <c r="BH212" s="151"/>
      <c r="BI212" s="151"/>
      <c r="BJ212" s="151"/>
      <c r="BK212" s="151"/>
      <c r="BL212" s="151"/>
      <c r="BM212" s="151"/>
      <c r="BN212" s="151"/>
      <c r="BO212" s="151"/>
      <c r="BP212" s="151"/>
      <c r="BQ212" s="151"/>
      <c r="BR212" s="151"/>
    </row>
    <row r="213" s="75" customFormat="true" ht="30" hidden="false" customHeight="false" outlineLevel="0" collapsed="false">
      <c r="A213" s="141" t="s">
        <v>662</v>
      </c>
      <c r="B213" s="142" t="s">
        <v>1090</v>
      </c>
      <c r="C213" s="143" t="s">
        <v>1357</v>
      </c>
      <c r="D213" s="144"/>
      <c r="E213" s="144"/>
      <c r="F213" s="144"/>
      <c r="G213" s="145"/>
      <c r="H213" s="146" t="s">
        <v>81</v>
      </c>
      <c r="I213" s="147" t="s">
        <v>88</v>
      </c>
      <c r="J213" s="148" t="s">
        <v>81</v>
      </c>
      <c r="K213" s="149" t="s">
        <v>88</v>
      </c>
      <c r="L213" s="150" t="s">
        <v>1167</v>
      </c>
      <c r="M213" s="150" t="s">
        <v>1168</v>
      </c>
      <c r="N213" s="150" t="s">
        <v>1169</v>
      </c>
      <c r="O213" s="150" t="s">
        <v>1172</v>
      </c>
      <c r="P213" s="150" t="s">
        <v>1171</v>
      </c>
      <c r="Q213" s="150" t="s">
        <v>1097</v>
      </c>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50"/>
      <c r="AM213" s="150"/>
      <c r="AN213" s="150"/>
      <c r="AO213" s="150"/>
      <c r="AP213" s="150"/>
      <c r="AQ213" s="150"/>
      <c r="AR213" s="150"/>
      <c r="AS213" s="150"/>
      <c r="AT213" s="150"/>
      <c r="AU213" s="150"/>
      <c r="AV213" s="150"/>
      <c r="AW213" s="150"/>
      <c r="AX213" s="150"/>
      <c r="AY213" s="151"/>
      <c r="AZ213" s="151"/>
      <c r="BA213" s="151"/>
      <c r="BB213" s="151"/>
      <c r="BC213" s="151"/>
      <c r="BD213" s="151"/>
      <c r="BE213" s="151"/>
      <c r="BF213" s="151"/>
      <c r="BG213" s="151"/>
      <c r="BH213" s="151"/>
      <c r="BI213" s="151"/>
      <c r="BJ213" s="151"/>
      <c r="BK213" s="151"/>
      <c r="BL213" s="151"/>
      <c r="BM213" s="151"/>
      <c r="BN213" s="151"/>
      <c r="BO213" s="151"/>
      <c r="BP213" s="151"/>
      <c r="BQ213" s="151"/>
      <c r="BR213" s="151"/>
    </row>
    <row r="214" s="75" customFormat="true" ht="30" hidden="false" customHeight="false" outlineLevel="0" collapsed="false">
      <c r="A214" s="141" t="s">
        <v>664</v>
      </c>
      <c r="B214" s="142" t="s">
        <v>1090</v>
      </c>
      <c r="C214" s="143" t="s">
        <v>1358</v>
      </c>
      <c r="D214" s="144"/>
      <c r="E214" s="144"/>
      <c r="F214" s="144"/>
      <c r="G214" s="145"/>
      <c r="H214" s="146" t="s">
        <v>81</v>
      </c>
      <c r="I214" s="147" t="s">
        <v>88</v>
      </c>
      <c r="J214" s="148" t="s">
        <v>81</v>
      </c>
      <c r="K214" s="149" t="s">
        <v>88</v>
      </c>
      <c r="L214" s="150" t="s">
        <v>1167</v>
      </c>
      <c r="M214" s="150" t="s">
        <v>1168</v>
      </c>
      <c r="N214" s="150" t="s">
        <v>1169</v>
      </c>
      <c r="O214" s="150" t="s">
        <v>1172</v>
      </c>
      <c r="P214" s="150" t="s">
        <v>1171</v>
      </c>
      <c r="Q214" s="150" t="s">
        <v>1097</v>
      </c>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50"/>
      <c r="AM214" s="150"/>
      <c r="AN214" s="150"/>
      <c r="AO214" s="150"/>
      <c r="AP214" s="150"/>
      <c r="AQ214" s="150"/>
      <c r="AR214" s="150"/>
      <c r="AS214" s="150"/>
      <c r="AT214" s="150"/>
      <c r="AU214" s="150"/>
      <c r="AV214" s="150"/>
      <c r="AW214" s="150"/>
      <c r="AX214" s="150"/>
      <c r="AY214" s="151"/>
      <c r="AZ214" s="151"/>
      <c r="BA214" s="151"/>
      <c r="BB214" s="151"/>
      <c r="BC214" s="151"/>
      <c r="BD214" s="151"/>
      <c r="BE214" s="151"/>
      <c r="BF214" s="151"/>
      <c r="BG214" s="151"/>
      <c r="BH214" s="151"/>
      <c r="BI214" s="151"/>
      <c r="BJ214" s="151"/>
      <c r="BK214" s="151"/>
      <c r="BL214" s="151"/>
      <c r="BM214" s="151"/>
      <c r="BN214" s="151"/>
      <c r="BO214" s="151"/>
      <c r="BP214" s="151"/>
      <c r="BQ214" s="151"/>
      <c r="BR214" s="151"/>
    </row>
    <row r="215" s="75" customFormat="true" ht="30" hidden="false" customHeight="false" outlineLevel="0" collapsed="false">
      <c r="A215" s="141" t="s">
        <v>666</v>
      </c>
      <c r="B215" s="142" t="s">
        <v>1090</v>
      </c>
      <c r="C215" s="143" t="s">
        <v>1359</v>
      </c>
      <c r="D215" s="144"/>
      <c r="E215" s="144"/>
      <c r="F215" s="144"/>
      <c r="G215" s="145"/>
      <c r="H215" s="146" t="s">
        <v>81</v>
      </c>
      <c r="I215" s="147" t="s">
        <v>88</v>
      </c>
      <c r="J215" s="148" t="s">
        <v>81</v>
      </c>
      <c r="K215" s="149" t="s">
        <v>88</v>
      </c>
      <c r="L215" s="150" t="s">
        <v>1167</v>
      </c>
      <c r="M215" s="150" t="s">
        <v>1168</v>
      </c>
      <c r="N215" s="150" t="s">
        <v>1169</v>
      </c>
      <c r="O215" s="150" t="s">
        <v>1172</v>
      </c>
      <c r="P215" s="150" t="s">
        <v>1171</v>
      </c>
      <c r="Q215" s="150" t="s">
        <v>1097</v>
      </c>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50"/>
      <c r="AM215" s="150"/>
      <c r="AN215" s="150"/>
      <c r="AO215" s="150"/>
      <c r="AP215" s="150"/>
      <c r="AQ215" s="150"/>
      <c r="AR215" s="150"/>
      <c r="AS215" s="150"/>
      <c r="AT215" s="150"/>
      <c r="AU215" s="150"/>
      <c r="AV215" s="150"/>
      <c r="AW215" s="150"/>
      <c r="AX215" s="150"/>
      <c r="AY215" s="151"/>
      <c r="AZ215" s="151"/>
      <c r="BA215" s="151"/>
      <c r="BB215" s="151"/>
      <c r="BC215" s="151"/>
      <c r="BD215" s="151"/>
      <c r="BE215" s="151"/>
      <c r="BF215" s="151"/>
      <c r="BG215" s="151"/>
      <c r="BH215" s="151"/>
      <c r="BI215" s="151"/>
      <c r="BJ215" s="151"/>
      <c r="BK215" s="151"/>
      <c r="BL215" s="151"/>
      <c r="BM215" s="151"/>
      <c r="BN215" s="151"/>
      <c r="BO215" s="151"/>
      <c r="BP215" s="151"/>
      <c r="BQ215" s="151"/>
      <c r="BR215" s="151"/>
    </row>
    <row r="216" s="75" customFormat="true" ht="30" hidden="false" customHeight="false" outlineLevel="0" collapsed="false">
      <c r="A216" s="141" t="s">
        <v>668</v>
      </c>
      <c r="B216" s="142" t="s">
        <v>1090</v>
      </c>
      <c r="C216" s="143" t="s">
        <v>1360</v>
      </c>
      <c r="D216" s="144"/>
      <c r="E216" s="144"/>
      <c r="F216" s="144"/>
      <c r="G216" s="145"/>
      <c r="H216" s="146" t="s">
        <v>81</v>
      </c>
      <c r="I216" s="147" t="s">
        <v>88</v>
      </c>
      <c r="J216" s="148" t="s">
        <v>81</v>
      </c>
      <c r="K216" s="149" t="s">
        <v>88</v>
      </c>
      <c r="L216" s="150" t="s">
        <v>1167</v>
      </c>
      <c r="M216" s="150" t="s">
        <v>1168</v>
      </c>
      <c r="N216" s="150" t="s">
        <v>1169</v>
      </c>
      <c r="O216" s="150" t="s">
        <v>1172</v>
      </c>
      <c r="P216" s="150" t="s">
        <v>1171</v>
      </c>
      <c r="Q216" s="150" t="s">
        <v>1097</v>
      </c>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50"/>
      <c r="AM216" s="150"/>
      <c r="AN216" s="150"/>
      <c r="AO216" s="150"/>
      <c r="AP216" s="150"/>
      <c r="AQ216" s="150"/>
      <c r="AR216" s="150"/>
      <c r="AS216" s="150"/>
      <c r="AT216" s="150"/>
      <c r="AU216" s="150"/>
      <c r="AV216" s="150"/>
      <c r="AW216" s="150"/>
      <c r="AX216" s="150"/>
      <c r="AY216" s="151"/>
      <c r="AZ216" s="151"/>
      <c r="BA216" s="151"/>
      <c r="BB216" s="151"/>
      <c r="BC216" s="151"/>
      <c r="BD216" s="151"/>
      <c r="BE216" s="151"/>
      <c r="BF216" s="151"/>
      <c r="BG216" s="151"/>
      <c r="BH216" s="151"/>
      <c r="BI216" s="151"/>
      <c r="BJ216" s="151"/>
      <c r="BK216" s="151"/>
      <c r="BL216" s="151"/>
      <c r="BM216" s="151"/>
      <c r="BN216" s="151"/>
      <c r="BO216" s="151"/>
      <c r="BP216" s="151"/>
      <c r="BQ216" s="151"/>
      <c r="BR216" s="151"/>
    </row>
    <row r="217" s="140" customFormat="true" ht="30" hidden="false" customHeight="false" outlineLevel="0" collapsed="false">
      <c r="A217" s="129" t="s">
        <v>677</v>
      </c>
      <c r="B217" s="130" t="s">
        <v>1090</v>
      </c>
      <c r="C217" s="131" t="s">
        <v>1361</v>
      </c>
      <c r="D217" s="132"/>
      <c r="E217" s="132"/>
      <c r="F217" s="132"/>
      <c r="G217" s="133"/>
      <c r="H217" s="134" t="s">
        <v>81</v>
      </c>
      <c r="I217" s="135" t="s">
        <v>88</v>
      </c>
      <c r="J217" s="136" t="s">
        <v>81</v>
      </c>
      <c r="K217" s="137" t="s">
        <v>88</v>
      </c>
      <c r="L217" s="138" t="s">
        <v>1167</v>
      </c>
      <c r="M217" s="138" t="s">
        <v>1168</v>
      </c>
      <c r="N217" s="138" t="s">
        <v>1169</v>
      </c>
      <c r="O217" s="138" t="s">
        <v>1172</v>
      </c>
      <c r="P217" s="138" t="s">
        <v>1171</v>
      </c>
      <c r="Q217" s="138" t="s">
        <v>1097</v>
      </c>
      <c r="R217" s="138"/>
      <c r="S217" s="138"/>
      <c r="T217" s="138"/>
      <c r="U217" s="138"/>
      <c r="V217" s="138"/>
      <c r="W217" s="138"/>
      <c r="X217" s="138"/>
      <c r="Y217" s="138"/>
      <c r="Z217" s="138"/>
      <c r="AA217" s="138"/>
      <c r="AB217" s="138"/>
      <c r="AC217" s="138"/>
      <c r="AD217" s="138"/>
      <c r="AE217" s="138"/>
      <c r="AF217" s="138"/>
      <c r="AG217" s="138"/>
      <c r="AH217" s="138"/>
      <c r="AI217" s="138"/>
      <c r="AJ217" s="138"/>
      <c r="AK217" s="138"/>
      <c r="AL217" s="138"/>
      <c r="AM217" s="138"/>
      <c r="AN217" s="138"/>
      <c r="AO217" s="138"/>
      <c r="AP217" s="138"/>
      <c r="AQ217" s="138"/>
      <c r="AR217" s="138"/>
      <c r="AS217" s="138"/>
      <c r="AT217" s="138"/>
      <c r="AU217" s="138"/>
      <c r="AV217" s="138"/>
      <c r="AW217" s="138"/>
      <c r="AX217" s="138"/>
      <c r="AY217" s="139"/>
      <c r="AZ217" s="139"/>
      <c r="BA217" s="139"/>
      <c r="BB217" s="139"/>
      <c r="BC217" s="139"/>
      <c r="BD217" s="139"/>
      <c r="BE217" s="139"/>
      <c r="BF217" s="139"/>
      <c r="BG217" s="139"/>
      <c r="BH217" s="139"/>
      <c r="BI217" s="139"/>
      <c r="BJ217" s="139"/>
      <c r="BK217" s="139"/>
      <c r="BL217" s="139"/>
      <c r="BM217" s="139"/>
      <c r="BN217" s="139"/>
      <c r="BO217" s="139"/>
      <c r="BP217" s="139"/>
      <c r="BQ217" s="139"/>
      <c r="BR217" s="139"/>
    </row>
    <row r="218" s="75" customFormat="true" ht="15" hidden="false" customHeight="false" outlineLevel="0" collapsed="false">
      <c r="A218" s="141"/>
      <c r="B218" s="142"/>
      <c r="C218" s="143"/>
      <c r="D218" s="144"/>
      <c r="E218" s="144"/>
      <c r="F218" s="144"/>
      <c r="G218" s="145"/>
      <c r="H218" s="146"/>
      <c r="I218" s="147"/>
      <c r="J218" s="148"/>
      <c r="K218" s="149"/>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50"/>
      <c r="AM218" s="150"/>
      <c r="AN218" s="150"/>
      <c r="AO218" s="150"/>
      <c r="AP218" s="150"/>
      <c r="AQ218" s="150"/>
      <c r="AR218" s="150"/>
      <c r="AS218" s="150"/>
      <c r="AT218" s="150"/>
      <c r="AU218" s="150"/>
      <c r="AV218" s="150"/>
      <c r="AW218" s="150"/>
      <c r="AX218" s="150"/>
      <c r="AY218" s="151"/>
      <c r="AZ218" s="151"/>
      <c r="BA218" s="151"/>
      <c r="BB218" s="151"/>
      <c r="BC218" s="151"/>
      <c r="BD218" s="151"/>
      <c r="BE218" s="151"/>
      <c r="BF218" s="151"/>
      <c r="BG218" s="151"/>
      <c r="BH218" s="151"/>
      <c r="BI218" s="151"/>
      <c r="BJ218" s="151"/>
      <c r="BK218" s="151"/>
      <c r="BL218" s="151"/>
      <c r="BM218" s="151"/>
      <c r="BN218" s="151"/>
      <c r="BO218" s="151"/>
      <c r="BP218" s="151"/>
      <c r="BQ218" s="151"/>
      <c r="BR218" s="151"/>
    </row>
    <row r="219" s="75" customFormat="true" ht="45" hidden="false" customHeight="false" outlineLevel="0" collapsed="false">
      <c r="A219" s="141" t="s">
        <v>679</v>
      </c>
      <c r="B219" s="142" t="s">
        <v>1090</v>
      </c>
      <c r="C219" s="143" t="s">
        <v>1362</v>
      </c>
      <c r="D219" s="144"/>
      <c r="E219" s="144"/>
      <c r="F219" s="144"/>
      <c r="G219" s="145"/>
      <c r="H219" s="146" t="s">
        <v>231</v>
      </c>
      <c r="I219" s="147" t="s">
        <v>88</v>
      </c>
      <c r="J219" s="148" t="s">
        <v>231</v>
      </c>
      <c r="K219" s="149" t="s">
        <v>88</v>
      </c>
      <c r="L219" s="150" t="s">
        <v>1363</v>
      </c>
      <c r="M219" s="150" t="s">
        <v>1364</v>
      </c>
      <c r="N219" s="150" t="s">
        <v>1365</v>
      </c>
      <c r="O219" s="150" t="s">
        <v>1366</v>
      </c>
      <c r="P219" s="150" t="s">
        <v>1367</v>
      </c>
      <c r="Q219" s="150" t="s">
        <v>1368</v>
      </c>
      <c r="R219" s="150" t="s">
        <v>1369</v>
      </c>
      <c r="S219" s="150" t="s">
        <v>1370</v>
      </c>
      <c r="T219" s="150" t="s">
        <v>1371</v>
      </c>
      <c r="U219" s="150" t="s">
        <v>1372</v>
      </c>
      <c r="V219" s="150"/>
      <c r="W219" s="150"/>
      <c r="X219" s="150"/>
      <c r="Y219" s="150"/>
      <c r="Z219" s="150"/>
      <c r="AA219" s="150"/>
      <c r="AB219" s="150"/>
      <c r="AC219" s="150"/>
      <c r="AD219" s="150"/>
      <c r="AE219" s="150"/>
      <c r="AF219" s="150"/>
      <c r="AG219" s="150"/>
      <c r="AH219" s="150"/>
      <c r="AI219" s="150"/>
      <c r="AJ219" s="150"/>
      <c r="AK219" s="150"/>
      <c r="AL219" s="150"/>
      <c r="AM219" s="150"/>
      <c r="AN219" s="150"/>
      <c r="AO219" s="150"/>
      <c r="AP219" s="150"/>
      <c r="AQ219" s="150"/>
      <c r="AR219" s="150"/>
      <c r="AS219" s="150"/>
      <c r="AT219" s="150"/>
      <c r="AU219" s="150"/>
      <c r="AV219" s="150"/>
      <c r="AW219" s="150"/>
      <c r="AX219" s="150"/>
      <c r="AY219" s="151"/>
      <c r="AZ219" s="151"/>
      <c r="BA219" s="151"/>
      <c r="BB219" s="151"/>
      <c r="BC219" s="151"/>
      <c r="BD219" s="151"/>
      <c r="BE219" s="151"/>
      <c r="BF219" s="151"/>
      <c r="BG219" s="151"/>
      <c r="BH219" s="151"/>
      <c r="BI219" s="151"/>
      <c r="BJ219" s="151"/>
      <c r="BK219" s="151"/>
      <c r="BL219" s="151"/>
      <c r="BM219" s="151"/>
      <c r="BN219" s="151"/>
      <c r="BO219" s="151"/>
      <c r="BP219" s="151"/>
      <c r="BQ219" s="151"/>
      <c r="BR219" s="151"/>
    </row>
    <row r="220" s="75" customFormat="true" ht="15" hidden="false" customHeight="false" outlineLevel="0" collapsed="false">
      <c r="A220" s="141"/>
      <c r="B220" s="142"/>
      <c r="C220" s="143"/>
      <c r="D220" s="144"/>
      <c r="E220" s="144"/>
      <c r="F220" s="144"/>
      <c r="G220" s="145"/>
      <c r="H220" s="146"/>
      <c r="I220" s="147"/>
      <c r="J220" s="148"/>
      <c r="K220" s="149"/>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50"/>
      <c r="AM220" s="150"/>
      <c r="AN220" s="150"/>
      <c r="AO220" s="150"/>
      <c r="AP220" s="150"/>
      <c r="AQ220" s="150"/>
      <c r="AR220" s="150"/>
      <c r="AS220" s="150"/>
      <c r="AT220" s="150"/>
      <c r="AU220" s="150"/>
      <c r="AV220" s="150"/>
      <c r="AW220" s="150"/>
      <c r="AX220" s="150"/>
      <c r="AY220" s="151"/>
      <c r="AZ220" s="151"/>
      <c r="BA220" s="151"/>
      <c r="BB220" s="151"/>
      <c r="BC220" s="151"/>
      <c r="BD220" s="151"/>
      <c r="BE220" s="151"/>
      <c r="BF220" s="151"/>
      <c r="BG220" s="151"/>
      <c r="BH220" s="151"/>
      <c r="BI220" s="151"/>
      <c r="BJ220" s="151"/>
      <c r="BK220" s="151"/>
      <c r="BL220" s="151"/>
      <c r="BM220" s="151"/>
      <c r="BN220" s="151"/>
      <c r="BO220" s="151"/>
      <c r="BP220" s="151"/>
      <c r="BQ220" s="151"/>
      <c r="BR220" s="151"/>
    </row>
    <row r="221" s="75" customFormat="true" ht="60" hidden="false" customHeight="false" outlineLevel="0" collapsed="false">
      <c r="A221" s="141" t="s">
        <v>720</v>
      </c>
      <c r="B221" s="142" t="s">
        <v>1373</v>
      </c>
      <c r="C221" s="143" t="s">
        <v>1374</v>
      </c>
      <c r="D221" s="144" t="s">
        <v>1086</v>
      </c>
      <c r="E221" s="144" t="s">
        <v>1086</v>
      </c>
      <c r="F221" s="144" t="s">
        <v>1087</v>
      </c>
      <c r="G221" s="145" t="s">
        <v>1087</v>
      </c>
      <c r="H221" s="146" t="s">
        <v>81</v>
      </c>
      <c r="I221" s="147" t="s">
        <v>88</v>
      </c>
      <c r="J221" s="148" t="s">
        <v>81</v>
      </c>
      <c r="K221" s="149" t="s">
        <v>88</v>
      </c>
      <c r="L221" s="150" t="s">
        <v>1375</v>
      </c>
      <c r="M221" s="150" t="s">
        <v>1376</v>
      </c>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50"/>
      <c r="AM221" s="150"/>
      <c r="AN221" s="150"/>
      <c r="AO221" s="150"/>
      <c r="AP221" s="150"/>
      <c r="AQ221" s="150"/>
      <c r="AR221" s="150"/>
      <c r="AS221" s="150"/>
      <c r="AT221" s="150"/>
      <c r="AU221" s="150"/>
      <c r="AV221" s="150"/>
      <c r="AW221" s="150"/>
      <c r="AX221" s="150"/>
      <c r="AY221" s="151"/>
      <c r="AZ221" s="151"/>
      <c r="BA221" s="151"/>
      <c r="BB221" s="151"/>
      <c r="BC221" s="151"/>
      <c r="BD221" s="151"/>
      <c r="BE221" s="151"/>
      <c r="BF221" s="151"/>
      <c r="BG221" s="151"/>
      <c r="BH221" s="151"/>
      <c r="BI221" s="151"/>
      <c r="BJ221" s="151"/>
      <c r="BK221" s="151"/>
      <c r="BL221" s="151"/>
      <c r="BM221" s="151"/>
      <c r="BN221" s="151"/>
      <c r="BO221" s="151"/>
      <c r="BP221" s="151"/>
      <c r="BQ221" s="151"/>
      <c r="BR221" s="151"/>
    </row>
    <row r="222" s="75" customFormat="true" ht="60" hidden="false" customHeight="false" outlineLevel="0" collapsed="false">
      <c r="A222" s="141" t="s">
        <v>722</v>
      </c>
      <c r="B222" s="142" t="s">
        <v>1373</v>
      </c>
      <c r="C222" s="143" t="s">
        <v>1377</v>
      </c>
      <c r="D222" s="144" t="s">
        <v>1086</v>
      </c>
      <c r="E222" s="144" t="s">
        <v>1086</v>
      </c>
      <c r="F222" s="144" t="s">
        <v>1089</v>
      </c>
      <c r="G222" s="145" t="s">
        <v>1089</v>
      </c>
      <c r="H222" s="146" t="s">
        <v>81</v>
      </c>
      <c r="I222" s="147" t="s">
        <v>88</v>
      </c>
      <c r="J222" s="148" t="s">
        <v>81</v>
      </c>
      <c r="K222" s="149" t="s">
        <v>88</v>
      </c>
      <c r="L222" s="150" t="s">
        <v>1375</v>
      </c>
      <c r="M222" s="150" t="s">
        <v>1376</v>
      </c>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50"/>
      <c r="AM222" s="150"/>
      <c r="AN222" s="150"/>
      <c r="AO222" s="150"/>
      <c r="AP222" s="150"/>
      <c r="AQ222" s="150"/>
      <c r="AR222" s="150"/>
      <c r="AS222" s="150"/>
      <c r="AT222" s="150"/>
      <c r="AU222" s="150"/>
      <c r="AV222" s="150"/>
      <c r="AW222" s="150"/>
      <c r="AX222" s="150"/>
      <c r="AY222" s="151"/>
      <c r="AZ222" s="151"/>
      <c r="BA222" s="151"/>
      <c r="BB222" s="151"/>
      <c r="BC222" s="151"/>
      <c r="BD222" s="151"/>
      <c r="BE222" s="151"/>
      <c r="BF222" s="151"/>
      <c r="BG222" s="151"/>
      <c r="BH222" s="151"/>
      <c r="BI222" s="151"/>
      <c r="BJ222" s="151"/>
      <c r="BK222" s="151"/>
      <c r="BL222" s="151"/>
      <c r="BM222" s="151"/>
      <c r="BN222" s="151"/>
      <c r="BO222" s="151"/>
      <c r="BP222" s="151"/>
      <c r="BQ222" s="151"/>
      <c r="BR222" s="151"/>
    </row>
    <row r="223" s="75" customFormat="true" ht="60" hidden="false" customHeight="false" outlineLevel="0" collapsed="false">
      <c r="A223" s="141" t="s">
        <v>724</v>
      </c>
      <c r="B223" s="142" t="s">
        <v>1373</v>
      </c>
      <c r="C223" s="143" t="s">
        <v>1378</v>
      </c>
      <c r="D223" s="144" t="s">
        <v>1086</v>
      </c>
      <c r="E223" s="144" t="s">
        <v>1086</v>
      </c>
      <c r="F223" s="144" t="s">
        <v>1087</v>
      </c>
      <c r="G223" s="145" t="s">
        <v>1087</v>
      </c>
      <c r="H223" s="146" t="s">
        <v>81</v>
      </c>
      <c r="I223" s="147" t="s">
        <v>88</v>
      </c>
      <c r="J223" s="148" t="s">
        <v>81</v>
      </c>
      <c r="K223" s="149" t="s">
        <v>88</v>
      </c>
      <c r="L223" s="150" t="s">
        <v>1375</v>
      </c>
      <c r="M223" s="150" t="s">
        <v>1376</v>
      </c>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50"/>
      <c r="AM223" s="150"/>
      <c r="AN223" s="150"/>
      <c r="AO223" s="150"/>
      <c r="AP223" s="150"/>
      <c r="AQ223" s="150"/>
      <c r="AR223" s="150"/>
      <c r="AS223" s="150"/>
      <c r="AT223" s="150"/>
      <c r="AU223" s="150"/>
      <c r="AV223" s="150"/>
      <c r="AW223" s="150"/>
      <c r="AX223" s="150"/>
      <c r="AY223" s="151"/>
      <c r="AZ223" s="151"/>
      <c r="BA223" s="151"/>
      <c r="BB223" s="151"/>
      <c r="BC223" s="151"/>
      <c r="BD223" s="151"/>
      <c r="BE223" s="151"/>
      <c r="BF223" s="151"/>
      <c r="BG223" s="151"/>
      <c r="BH223" s="151"/>
      <c r="BI223" s="151"/>
      <c r="BJ223" s="151"/>
      <c r="BK223" s="151"/>
      <c r="BL223" s="151"/>
      <c r="BM223" s="151"/>
      <c r="BN223" s="151"/>
      <c r="BO223" s="151"/>
      <c r="BP223" s="151"/>
      <c r="BQ223" s="151"/>
      <c r="BR223" s="151"/>
    </row>
    <row r="224" s="75" customFormat="true" ht="60" hidden="false" customHeight="false" outlineLevel="0" collapsed="false">
      <c r="A224" s="141" t="s">
        <v>726</v>
      </c>
      <c r="B224" s="142" t="s">
        <v>1373</v>
      </c>
      <c r="C224" s="143" t="s">
        <v>1379</v>
      </c>
      <c r="D224" s="144" t="s">
        <v>1086</v>
      </c>
      <c r="E224" s="144" t="s">
        <v>1086</v>
      </c>
      <c r="F224" s="144" t="s">
        <v>1089</v>
      </c>
      <c r="G224" s="145" t="s">
        <v>1089</v>
      </c>
      <c r="H224" s="146" t="s">
        <v>81</v>
      </c>
      <c r="I224" s="147" t="s">
        <v>88</v>
      </c>
      <c r="J224" s="148" t="s">
        <v>81</v>
      </c>
      <c r="K224" s="149" t="s">
        <v>88</v>
      </c>
      <c r="L224" s="150" t="s">
        <v>1375</v>
      </c>
      <c r="M224" s="150" t="s">
        <v>1376</v>
      </c>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50"/>
      <c r="AM224" s="150"/>
      <c r="AN224" s="150"/>
      <c r="AO224" s="150"/>
      <c r="AP224" s="150"/>
      <c r="AQ224" s="150"/>
      <c r="AR224" s="150"/>
      <c r="AS224" s="150"/>
      <c r="AT224" s="150"/>
      <c r="AU224" s="150"/>
      <c r="AV224" s="150"/>
      <c r="AW224" s="150"/>
      <c r="AX224" s="150"/>
      <c r="AY224" s="151"/>
      <c r="AZ224" s="151"/>
      <c r="BA224" s="151"/>
      <c r="BB224" s="151"/>
      <c r="BC224" s="151"/>
      <c r="BD224" s="151"/>
      <c r="BE224" s="151"/>
      <c r="BF224" s="151"/>
      <c r="BG224" s="151"/>
      <c r="BH224" s="151"/>
      <c r="BI224" s="151"/>
      <c r="BJ224" s="151"/>
      <c r="BK224" s="151"/>
      <c r="BL224" s="151"/>
      <c r="BM224" s="151"/>
      <c r="BN224" s="151"/>
      <c r="BO224" s="151"/>
      <c r="BP224" s="151"/>
      <c r="BQ224" s="151"/>
      <c r="BR224" s="151"/>
    </row>
    <row r="225" s="75" customFormat="true" ht="60" hidden="false" customHeight="false" outlineLevel="0" collapsed="false">
      <c r="A225" s="141" t="s">
        <v>728</v>
      </c>
      <c r="B225" s="142" t="s">
        <v>1373</v>
      </c>
      <c r="C225" s="143" t="s">
        <v>1380</v>
      </c>
      <c r="D225" s="144" t="s">
        <v>1086</v>
      </c>
      <c r="E225" s="144" t="s">
        <v>1086</v>
      </c>
      <c r="F225" s="144" t="s">
        <v>1087</v>
      </c>
      <c r="G225" s="145" t="s">
        <v>1087</v>
      </c>
      <c r="H225" s="146" t="s">
        <v>81</v>
      </c>
      <c r="I225" s="147" t="s">
        <v>88</v>
      </c>
      <c r="J225" s="148" t="s">
        <v>81</v>
      </c>
      <c r="K225" s="149" t="s">
        <v>88</v>
      </c>
      <c r="L225" s="150" t="s">
        <v>1375</v>
      </c>
      <c r="M225" s="150" t="s">
        <v>1376</v>
      </c>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50"/>
      <c r="AM225" s="150"/>
      <c r="AN225" s="150"/>
      <c r="AO225" s="150"/>
      <c r="AP225" s="150"/>
      <c r="AQ225" s="150"/>
      <c r="AR225" s="150"/>
      <c r="AS225" s="150"/>
      <c r="AT225" s="150"/>
      <c r="AU225" s="150"/>
      <c r="AV225" s="150"/>
      <c r="AW225" s="150"/>
      <c r="AX225" s="150"/>
      <c r="AY225" s="151"/>
      <c r="AZ225" s="151"/>
      <c r="BA225" s="151"/>
      <c r="BB225" s="151"/>
      <c r="BC225" s="151"/>
      <c r="BD225" s="151"/>
      <c r="BE225" s="151"/>
      <c r="BF225" s="151"/>
      <c r="BG225" s="151"/>
      <c r="BH225" s="151"/>
      <c r="BI225" s="151"/>
      <c r="BJ225" s="151"/>
      <c r="BK225" s="151"/>
      <c r="BL225" s="151"/>
      <c r="BM225" s="151"/>
      <c r="BN225" s="151"/>
      <c r="BO225" s="151"/>
      <c r="BP225" s="151"/>
      <c r="BQ225" s="151"/>
      <c r="BR225" s="151"/>
    </row>
    <row r="226" s="75" customFormat="true" ht="60" hidden="false" customHeight="false" outlineLevel="0" collapsed="false">
      <c r="A226" s="141" t="s">
        <v>730</v>
      </c>
      <c r="B226" s="142" t="s">
        <v>1373</v>
      </c>
      <c r="C226" s="143" t="s">
        <v>1381</v>
      </c>
      <c r="D226" s="144" t="s">
        <v>1086</v>
      </c>
      <c r="E226" s="144" t="s">
        <v>1086</v>
      </c>
      <c r="F226" s="144" t="s">
        <v>1089</v>
      </c>
      <c r="G226" s="145" t="s">
        <v>1089</v>
      </c>
      <c r="H226" s="146" t="s">
        <v>81</v>
      </c>
      <c r="I226" s="147" t="s">
        <v>88</v>
      </c>
      <c r="J226" s="148" t="s">
        <v>81</v>
      </c>
      <c r="K226" s="149" t="s">
        <v>88</v>
      </c>
      <c r="L226" s="150" t="s">
        <v>1375</v>
      </c>
      <c r="M226" s="150" t="s">
        <v>1376</v>
      </c>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50"/>
      <c r="AM226" s="150"/>
      <c r="AN226" s="150"/>
      <c r="AO226" s="150"/>
      <c r="AP226" s="150"/>
      <c r="AQ226" s="150"/>
      <c r="AR226" s="150"/>
      <c r="AS226" s="150"/>
      <c r="AT226" s="150"/>
      <c r="AU226" s="150"/>
      <c r="AV226" s="150"/>
      <c r="AW226" s="150"/>
      <c r="AX226" s="150"/>
      <c r="AY226" s="151"/>
      <c r="AZ226" s="151"/>
      <c r="BA226" s="151"/>
      <c r="BB226" s="151"/>
      <c r="BC226" s="151"/>
      <c r="BD226" s="151"/>
      <c r="BE226" s="151"/>
      <c r="BF226" s="151"/>
      <c r="BG226" s="151"/>
      <c r="BH226" s="151"/>
      <c r="BI226" s="151"/>
      <c r="BJ226" s="151"/>
      <c r="BK226" s="151"/>
      <c r="BL226" s="151"/>
      <c r="BM226" s="151"/>
      <c r="BN226" s="151"/>
      <c r="BO226" s="151"/>
      <c r="BP226" s="151"/>
      <c r="BQ226" s="151"/>
      <c r="BR226" s="151"/>
    </row>
    <row r="227" s="140" customFormat="true" ht="60" hidden="false" customHeight="false" outlineLevel="0" collapsed="false">
      <c r="A227" s="129" t="s">
        <v>736</v>
      </c>
      <c r="B227" s="130" t="s">
        <v>1373</v>
      </c>
      <c r="C227" s="131" t="s">
        <v>1382</v>
      </c>
      <c r="D227" s="132" t="s">
        <v>1086</v>
      </c>
      <c r="E227" s="132" t="s">
        <v>1086</v>
      </c>
      <c r="F227" s="132" t="s">
        <v>1087</v>
      </c>
      <c r="G227" s="133" t="s">
        <v>1087</v>
      </c>
      <c r="H227" s="134" t="s">
        <v>81</v>
      </c>
      <c r="I227" s="135" t="s">
        <v>88</v>
      </c>
      <c r="J227" s="136" t="s">
        <v>81</v>
      </c>
      <c r="K227" s="137" t="s">
        <v>88</v>
      </c>
      <c r="L227" s="138" t="s">
        <v>1375</v>
      </c>
      <c r="M227" s="138" t="s">
        <v>1376</v>
      </c>
      <c r="N227" s="138"/>
      <c r="O227" s="138"/>
      <c r="P227" s="138"/>
      <c r="Q227" s="138"/>
      <c r="R227" s="138"/>
      <c r="S227" s="138"/>
      <c r="T227" s="138"/>
      <c r="U227" s="138"/>
      <c r="V227" s="138"/>
      <c r="W227" s="138"/>
      <c r="X227" s="138"/>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138"/>
      <c r="AT227" s="138"/>
      <c r="AU227" s="138"/>
      <c r="AV227" s="138"/>
      <c r="AW227" s="138"/>
      <c r="AX227" s="138"/>
      <c r="AY227" s="139"/>
      <c r="AZ227" s="139"/>
      <c r="BA227" s="139"/>
      <c r="BB227" s="139"/>
      <c r="BC227" s="139"/>
      <c r="BD227" s="139"/>
      <c r="BE227" s="139"/>
      <c r="BF227" s="139"/>
      <c r="BG227" s="139"/>
      <c r="BH227" s="139"/>
      <c r="BI227" s="139"/>
      <c r="BJ227" s="139"/>
      <c r="BK227" s="139"/>
      <c r="BL227" s="139"/>
      <c r="BM227" s="139"/>
      <c r="BN227" s="139"/>
      <c r="BO227" s="139"/>
      <c r="BP227" s="139"/>
      <c r="BQ227" s="139"/>
      <c r="BR227" s="139"/>
    </row>
    <row r="228" s="140" customFormat="true" ht="60" hidden="false" customHeight="false" outlineLevel="0" collapsed="false">
      <c r="A228" s="129" t="s">
        <v>738</v>
      </c>
      <c r="B228" s="130" t="s">
        <v>1373</v>
      </c>
      <c r="C228" s="131" t="s">
        <v>1383</v>
      </c>
      <c r="D228" s="132" t="s">
        <v>1086</v>
      </c>
      <c r="E228" s="132" t="s">
        <v>1086</v>
      </c>
      <c r="F228" s="132" t="s">
        <v>1089</v>
      </c>
      <c r="G228" s="133" t="s">
        <v>1089</v>
      </c>
      <c r="H228" s="134" t="s">
        <v>81</v>
      </c>
      <c r="I228" s="135" t="s">
        <v>88</v>
      </c>
      <c r="J228" s="136" t="s">
        <v>81</v>
      </c>
      <c r="K228" s="137" t="s">
        <v>88</v>
      </c>
      <c r="L228" s="138" t="s">
        <v>1375</v>
      </c>
      <c r="M228" s="138" t="s">
        <v>1376</v>
      </c>
      <c r="N228" s="138"/>
      <c r="O228" s="138"/>
      <c r="P228" s="138"/>
      <c r="Q228" s="138"/>
      <c r="R228" s="138"/>
      <c r="S228" s="138"/>
      <c r="T228" s="138"/>
      <c r="U228" s="138"/>
      <c r="V228" s="138"/>
      <c r="W228" s="138"/>
      <c r="X228" s="138"/>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138"/>
      <c r="AT228" s="138"/>
      <c r="AU228" s="138"/>
      <c r="AV228" s="138"/>
      <c r="AW228" s="138"/>
      <c r="AX228" s="138"/>
      <c r="AY228" s="139"/>
      <c r="AZ228" s="139"/>
      <c r="BA228" s="139"/>
      <c r="BB228" s="139"/>
      <c r="BC228" s="139"/>
      <c r="BD228" s="139"/>
      <c r="BE228" s="139"/>
      <c r="BF228" s="139"/>
      <c r="BG228" s="139"/>
      <c r="BH228" s="139"/>
      <c r="BI228" s="139"/>
      <c r="BJ228" s="139"/>
      <c r="BK228" s="139"/>
      <c r="BL228" s="139"/>
      <c r="BM228" s="139"/>
      <c r="BN228" s="139"/>
      <c r="BO228" s="139"/>
      <c r="BP228" s="139"/>
      <c r="BQ228" s="139"/>
      <c r="BR228" s="139"/>
    </row>
    <row r="229" s="140" customFormat="true" ht="60" hidden="false" customHeight="false" outlineLevel="0" collapsed="false">
      <c r="A229" s="129" t="s">
        <v>740</v>
      </c>
      <c r="B229" s="130" t="s">
        <v>1373</v>
      </c>
      <c r="C229" s="131" t="s">
        <v>1384</v>
      </c>
      <c r="D229" s="132" t="s">
        <v>1086</v>
      </c>
      <c r="E229" s="132" t="s">
        <v>1086</v>
      </c>
      <c r="F229" s="132" t="s">
        <v>1087</v>
      </c>
      <c r="G229" s="133" t="s">
        <v>1087</v>
      </c>
      <c r="H229" s="134" t="s">
        <v>81</v>
      </c>
      <c r="I229" s="135" t="s">
        <v>88</v>
      </c>
      <c r="J229" s="136" t="s">
        <v>81</v>
      </c>
      <c r="K229" s="137" t="s">
        <v>88</v>
      </c>
      <c r="L229" s="138" t="s">
        <v>1375</v>
      </c>
      <c r="M229" s="138" t="s">
        <v>1376</v>
      </c>
      <c r="N229" s="138"/>
      <c r="O229" s="138"/>
      <c r="P229" s="138"/>
      <c r="Q229" s="138"/>
      <c r="R229" s="138"/>
      <c r="S229" s="138"/>
      <c r="T229" s="138"/>
      <c r="U229" s="138"/>
      <c r="V229" s="138"/>
      <c r="W229" s="138"/>
      <c r="X229" s="138"/>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138"/>
      <c r="AT229" s="138"/>
      <c r="AU229" s="138"/>
      <c r="AV229" s="138"/>
      <c r="AW229" s="138"/>
      <c r="AX229" s="138"/>
      <c r="AY229" s="139"/>
      <c r="AZ229" s="139"/>
      <c r="BA229" s="139"/>
      <c r="BB229" s="139"/>
      <c r="BC229" s="139"/>
      <c r="BD229" s="139"/>
      <c r="BE229" s="139"/>
      <c r="BF229" s="139"/>
      <c r="BG229" s="139"/>
      <c r="BH229" s="139"/>
      <c r="BI229" s="139"/>
      <c r="BJ229" s="139"/>
      <c r="BK229" s="139"/>
      <c r="BL229" s="139"/>
      <c r="BM229" s="139"/>
      <c r="BN229" s="139"/>
      <c r="BO229" s="139"/>
      <c r="BP229" s="139"/>
      <c r="BQ229" s="139"/>
      <c r="BR229" s="139"/>
    </row>
    <row r="230" s="140" customFormat="true" ht="60" hidden="false" customHeight="false" outlineLevel="0" collapsed="false">
      <c r="A230" s="129" t="s">
        <v>742</v>
      </c>
      <c r="B230" s="130" t="s">
        <v>1373</v>
      </c>
      <c r="C230" s="131" t="s">
        <v>1385</v>
      </c>
      <c r="D230" s="132" t="s">
        <v>1086</v>
      </c>
      <c r="E230" s="132" t="s">
        <v>1086</v>
      </c>
      <c r="F230" s="132" t="s">
        <v>1089</v>
      </c>
      <c r="G230" s="133" t="s">
        <v>1089</v>
      </c>
      <c r="H230" s="134" t="s">
        <v>81</v>
      </c>
      <c r="I230" s="135" t="s">
        <v>88</v>
      </c>
      <c r="J230" s="136" t="s">
        <v>81</v>
      </c>
      <c r="K230" s="137" t="s">
        <v>88</v>
      </c>
      <c r="L230" s="138" t="s">
        <v>1375</v>
      </c>
      <c r="M230" s="138" t="s">
        <v>1376</v>
      </c>
      <c r="N230" s="138"/>
      <c r="O230" s="138"/>
      <c r="P230" s="138"/>
      <c r="Q230" s="138"/>
      <c r="R230" s="138"/>
      <c r="S230" s="138"/>
      <c r="T230" s="138"/>
      <c r="U230" s="138"/>
      <c r="V230" s="138"/>
      <c r="W230" s="138"/>
      <c r="X230" s="138"/>
      <c r="Y230" s="138"/>
      <c r="Z230" s="138"/>
      <c r="AA230" s="138"/>
      <c r="AB230" s="138"/>
      <c r="AC230" s="138"/>
      <c r="AD230" s="138"/>
      <c r="AE230" s="138"/>
      <c r="AF230" s="138"/>
      <c r="AG230" s="138"/>
      <c r="AH230" s="138"/>
      <c r="AI230" s="138"/>
      <c r="AJ230" s="138"/>
      <c r="AK230" s="138"/>
      <c r="AL230" s="138"/>
      <c r="AM230" s="138"/>
      <c r="AN230" s="138"/>
      <c r="AO230" s="138"/>
      <c r="AP230" s="138"/>
      <c r="AQ230" s="138"/>
      <c r="AR230" s="138"/>
      <c r="AS230" s="138"/>
      <c r="AT230" s="138"/>
      <c r="AU230" s="138"/>
      <c r="AV230" s="138"/>
      <c r="AW230" s="138"/>
      <c r="AX230" s="138"/>
      <c r="AY230" s="139"/>
      <c r="AZ230" s="139"/>
      <c r="BA230" s="139"/>
      <c r="BB230" s="139"/>
      <c r="BC230" s="139"/>
      <c r="BD230" s="139"/>
      <c r="BE230" s="139"/>
      <c r="BF230" s="139"/>
      <c r="BG230" s="139"/>
      <c r="BH230" s="139"/>
      <c r="BI230" s="139"/>
      <c r="BJ230" s="139"/>
      <c r="BK230" s="139"/>
      <c r="BL230" s="139"/>
      <c r="BM230" s="139"/>
      <c r="BN230" s="139"/>
      <c r="BO230" s="139"/>
      <c r="BP230" s="139"/>
      <c r="BQ230" s="139"/>
      <c r="BR230" s="139"/>
    </row>
    <row r="231" s="140" customFormat="true" ht="60" hidden="false" customHeight="false" outlineLevel="0" collapsed="false">
      <c r="A231" s="129" t="s">
        <v>744</v>
      </c>
      <c r="B231" s="130" t="s">
        <v>1373</v>
      </c>
      <c r="C231" s="131" t="s">
        <v>1386</v>
      </c>
      <c r="D231" s="132" t="s">
        <v>1086</v>
      </c>
      <c r="E231" s="132" t="s">
        <v>1086</v>
      </c>
      <c r="F231" s="132" t="s">
        <v>1087</v>
      </c>
      <c r="G231" s="133" t="s">
        <v>1087</v>
      </c>
      <c r="H231" s="134" t="s">
        <v>81</v>
      </c>
      <c r="I231" s="135" t="s">
        <v>88</v>
      </c>
      <c r="J231" s="136" t="s">
        <v>81</v>
      </c>
      <c r="K231" s="137" t="s">
        <v>88</v>
      </c>
      <c r="L231" s="138" t="s">
        <v>1375</v>
      </c>
      <c r="M231" s="138" t="s">
        <v>1376</v>
      </c>
      <c r="N231" s="138"/>
      <c r="O231" s="138"/>
      <c r="P231" s="138"/>
      <c r="Q231" s="138"/>
      <c r="R231" s="138"/>
      <c r="S231" s="138"/>
      <c r="T231" s="138"/>
      <c r="U231" s="138"/>
      <c r="V231" s="138"/>
      <c r="W231" s="138"/>
      <c r="X231" s="138"/>
      <c r="Y231" s="138"/>
      <c r="Z231" s="138"/>
      <c r="AA231" s="138"/>
      <c r="AB231" s="138"/>
      <c r="AC231" s="138"/>
      <c r="AD231" s="138"/>
      <c r="AE231" s="138"/>
      <c r="AF231" s="138"/>
      <c r="AG231" s="138"/>
      <c r="AH231" s="138"/>
      <c r="AI231" s="138"/>
      <c r="AJ231" s="138"/>
      <c r="AK231" s="138"/>
      <c r="AL231" s="138"/>
      <c r="AM231" s="138"/>
      <c r="AN231" s="138"/>
      <c r="AO231" s="138"/>
      <c r="AP231" s="138"/>
      <c r="AQ231" s="138"/>
      <c r="AR231" s="138"/>
      <c r="AS231" s="138"/>
      <c r="AT231" s="138"/>
      <c r="AU231" s="138"/>
      <c r="AV231" s="138"/>
      <c r="AW231" s="138"/>
      <c r="AX231" s="138"/>
      <c r="AY231" s="139"/>
      <c r="AZ231" s="139"/>
      <c r="BA231" s="139"/>
      <c r="BB231" s="139"/>
      <c r="BC231" s="139"/>
      <c r="BD231" s="139"/>
      <c r="BE231" s="139"/>
      <c r="BF231" s="139"/>
      <c r="BG231" s="139"/>
      <c r="BH231" s="139"/>
      <c r="BI231" s="139"/>
      <c r="BJ231" s="139"/>
      <c r="BK231" s="139"/>
      <c r="BL231" s="139"/>
      <c r="BM231" s="139"/>
      <c r="BN231" s="139"/>
      <c r="BO231" s="139"/>
      <c r="BP231" s="139"/>
      <c r="BQ231" s="139"/>
      <c r="BR231" s="139"/>
    </row>
    <row r="232" s="140" customFormat="true" ht="60" hidden="false" customHeight="false" outlineLevel="0" collapsed="false">
      <c r="A232" s="129" t="s">
        <v>746</v>
      </c>
      <c r="B232" s="130" t="s">
        <v>1373</v>
      </c>
      <c r="C232" s="131" t="s">
        <v>1387</v>
      </c>
      <c r="D232" s="132" t="s">
        <v>1086</v>
      </c>
      <c r="E232" s="132" t="s">
        <v>1086</v>
      </c>
      <c r="F232" s="132" t="s">
        <v>1089</v>
      </c>
      <c r="G232" s="133" t="s">
        <v>1089</v>
      </c>
      <c r="H232" s="134" t="s">
        <v>81</v>
      </c>
      <c r="I232" s="135" t="s">
        <v>88</v>
      </c>
      <c r="J232" s="136" t="s">
        <v>81</v>
      </c>
      <c r="K232" s="137" t="s">
        <v>88</v>
      </c>
      <c r="L232" s="138" t="s">
        <v>1375</v>
      </c>
      <c r="M232" s="138" t="s">
        <v>1376</v>
      </c>
      <c r="N232" s="138"/>
      <c r="O232" s="138"/>
      <c r="P232" s="138"/>
      <c r="Q232" s="138"/>
      <c r="R232" s="138"/>
      <c r="S232" s="138"/>
      <c r="T232" s="138"/>
      <c r="U232" s="138"/>
      <c r="V232" s="138"/>
      <c r="W232" s="138"/>
      <c r="X232" s="138"/>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138"/>
      <c r="AT232" s="138"/>
      <c r="AU232" s="138"/>
      <c r="AV232" s="138"/>
      <c r="AW232" s="138"/>
      <c r="AX232" s="138"/>
      <c r="AY232" s="139"/>
      <c r="AZ232" s="139"/>
      <c r="BA232" s="139"/>
      <c r="BB232" s="139"/>
      <c r="BC232" s="139"/>
      <c r="BD232" s="139"/>
      <c r="BE232" s="139"/>
      <c r="BF232" s="139"/>
      <c r="BG232" s="139"/>
      <c r="BH232" s="139"/>
      <c r="BI232" s="139"/>
      <c r="BJ232" s="139"/>
      <c r="BK232" s="139"/>
      <c r="BL232" s="139"/>
      <c r="BM232" s="139"/>
      <c r="BN232" s="139"/>
      <c r="BO232" s="139"/>
      <c r="BP232" s="139"/>
      <c r="BQ232" s="139"/>
      <c r="BR232" s="139"/>
    </row>
    <row r="233" s="75" customFormat="true" ht="15" hidden="false" customHeight="false" outlineLevel="0" collapsed="false">
      <c r="A233" s="141"/>
      <c r="B233" s="142"/>
      <c r="C233" s="143"/>
      <c r="D233" s="144"/>
      <c r="E233" s="144"/>
      <c r="F233" s="144"/>
      <c r="G233" s="145"/>
      <c r="H233" s="146"/>
      <c r="I233" s="147"/>
      <c r="J233" s="148"/>
      <c r="K233" s="149"/>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50"/>
      <c r="AM233" s="150"/>
      <c r="AN233" s="150"/>
      <c r="AO233" s="150"/>
      <c r="AP233" s="150"/>
      <c r="AQ233" s="150"/>
      <c r="AR233" s="150"/>
      <c r="AS233" s="150"/>
      <c r="AT233" s="150"/>
      <c r="AU233" s="150"/>
      <c r="AV233" s="150"/>
      <c r="AW233" s="150"/>
      <c r="AX233" s="150"/>
      <c r="AY233" s="151"/>
      <c r="AZ233" s="151"/>
      <c r="BA233" s="151"/>
      <c r="BB233" s="151"/>
      <c r="BC233" s="151"/>
      <c r="BD233" s="151"/>
      <c r="BE233" s="151"/>
      <c r="BF233" s="151"/>
      <c r="BG233" s="151"/>
      <c r="BH233" s="151"/>
      <c r="BI233" s="151"/>
      <c r="BJ233" s="151"/>
      <c r="BK233" s="151"/>
      <c r="BL233" s="151"/>
      <c r="BM233" s="151"/>
      <c r="BN233" s="151"/>
      <c r="BO233" s="151"/>
      <c r="BP233" s="151"/>
      <c r="BQ233" s="151"/>
      <c r="BR233" s="151"/>
    </row>
    <row r="234" s="75" customFormat="true" ht="60" hidden="false" customHeight="false" outlineLevel="0" collapsed="false">
      <c r="A234" s="141" t="s">
        <v>748</v>
      </c>
      <c r="B234" s="142" t="s">
        <v>1373</v>
      </c>
      <c r="C234" s="143" t="s">
        <v>1388</v>
      </c>
      <c r="D234" s="144" t="s">
        <v>1086</v>
      </c>
      <c r="E234" s="144" t="s">
        <v>1086</v>
      </c>
      <c r="F234" s="144" t="s">
        <v>1089</v>
      </c>
      <c r="G234" s="145" t="s">
        <v>1089</v>
      </c>
      <c r="H234" s="146" t="s">
        <v>750</v>
      </c>
      <c r="I234" s="147" t="s">
        <v>88</v>
      </c>
      <c r="J234" s="148" t="s">
        <v>750</v>
      </c>
      <c r="K234" s="149" t="s">
        <v>88</v>
      </c>
      <c r="L234" s="150" t="s">
        <v>1389</v>
      </c>
      <c r="M234" s="150" t="s">
        <v>1390</v>
      </c>
      <c r="N234" s="150" t="s">
        <v>1391</v>
      </c>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50"/>
      <c r="AM234" s="150"/>
      <c r="AN234" s="150"/>
      <c r="AO234" s="150"/>
      <c r="AP234" s="150"/>
      <c r="AQ234" s="150"/>
      <c r="AR234" s="150"/>
      <c r="AS234" s="150"/>
      <c r="AT234" s="150"/>
      <c r="AU234" s="150"/>
      <c r="AV234" s="150"/>
      <c r="AW234" s="150"/>
      <c r="AX234" s="150"/>
      <c r="AY234" s="151"/>
      <c r="AZ234" s="151"/>
      <c r="BA234" s="151"/>
      <c r="BB234" s="151"/>
      <c r="BC234" s="151"/>
      <c r="BD234" s="151"/>
      <c r="BE234" s="151"/>
      <c r="BF234" s="151"/>
      <c r="BG234" s="151"/>
      <c r="BH234" s="151"/>
      <c r="BI234" s="151"/>
      <c r="BJ234" s="151"/>
      <c r="BK234" s="151"/>
      <c r="BL234" s="151"/>
      <c r="BM234" s="151"/>
      <c r="BN234" s="151"/>
      <c r="BO234" s="151"/>
      <c r="BP234" s="151"/>
      <c r="BQ234" s="151"/>
      <c r="BR234" s="151"/>
    </row>
    <row r="235" s="75" customFormat="true" ht="60" hidden="false" customHeight="false" outlineLevel="0" collapsed="false">
      <c r="A235" s="141" t="s">
        <v>751</v>
      </c>
      <c r="B235" s="142" t="s">
        <v>1373</v>
      </c>
      <c r="C235" s="143" t="s">
        <v>1392</v>
      </c>
      <c r="D235" s="144" t="s">
        <v>1086</v>
      </c>
      <c r="E235" s="144" t="s">
        <v>1086</v>
      </c>
      <c r="F235" s="144" t="s">
        <v>1089</v>
      </c>
      <c r="G235" s="145" t="s">
        <v>1089</v>
      </c>
      <c r="H235" s="146" t="s">
        <v>750</v>
      </c>
      <c r="I235" s="147" t="s">
        <v>88</v>
      </c>
      <c r="J235" s="148" t="s">
        <v>750</v>
      </c>
      <c r="K235" s="149" t="s">
        <v>88</v>
      </c>
      <c r="L235" s="150" t="s">
        <v>1389</v>
      </c>
      <c r="M235" s="150" t="s">
        <v>1390</v>
      </c>
      <c r="N235" s="150" t="s">
        <v>1391</v>
      </c>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50"/>
      <c r="AM235" s="150"/>
      <c r="AN235" s="150"/>
      <c r="AO235" s="150"/>
      <c r="AP235" s="150"/>
      <c r="AQ235" s="150"/>
      <c r="AR235" s="150"/>
      <c r="AS235" s="150"/>
      <c r="AT235" s="150"/>
      <c r="AU235" s="150"/>
      <c r="AV235" s="150"/>
      <c r="AW235" s="150"/>
      <c r="AX235" s="150"/>
      <c r="AY235" s="151"/>
      <c r="AZ235" s="151"/>
      <c r="BA235" s="151"/>
      <c r="BB235" s="151"/>
      <c r="BC235" s="151"/>
      <c r="BD235" s="151"/>
      <c r="BE235" s="151"/>
      <c r="BF235" s="151"/>
      <c r="BG235" s="151"/>
      <c r="BH235" s="151"/>
      <c r="BI235" s="151"/>
      <c r="BJ235" s="151"/>
      <c r="BK235" s="151"/>
      <c r="BL235" s="151"/>
      <c r="BM235" s="151"/>
      <c r="BN235" s="151"/>
      <c r="BO235" s="151"/>
      <c r="BP235" s="151"/>
      <c r="BQ235" s="151"/>
      <c r="BR235" s="151"/>
    </row>
    <row r="236" s="75" customFormat="true" ht="15" hidden="false" customHeight="false" outlineLevel="0" collapsed="false">
      <c r="A236" s="141"/>
      <c r="B236" s="142"/>
      <c r="C236" s="143"/>
      <c r="D236" s="144"/>
      <c r="E236" s="144"/>
      <c r="F236" s="144"/>
      <c r="G236" s="145"/>
      <c r="H236" s="146"/>
      <c r="I236" s="147"/>
      <c r="J236" s="148"/>
      <c r="K236" s="149"/>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50"/>
      <c r="AM236" s="150"/>
      <c r="AN236" s="150"/>
      <c r="AO236" s="150"/>
      <c r="AP236" s="150"/>
      <c r="AQ236" s="150"/>
      <c r="AR236" s="150"/>
      <c r="AS236" s="150"/>
      <c r="AT236" s="150"/>
      <c r="AU236" s="150"/>
      <c r="AV236" s="150"/>
      <c r="AW236" s="150"/>
      <c r="AX236" s="150"/>
      <c r="AY236" s="151"/>
      <c r="AZ236" s="151"/>
      <c r="BA236" s="151"/>
      <c r="BB236" s="151"/>
      <c r="BC236" s="151"/>
      <c r="BD236" s="151"/>
      <c r="BE236" s="151"/>
      <c r="BF236" s="151"/>
      <c r="BG236" s="151"/>
      <c r="BH236" s="151"/>
      <c r="BI236" s="151"/>
      <c r="BJ236" s="151"/>
      <c r="BK236" s="151"/>
      <c r="BL236" s="151"/>
      <c r="BM236" s="151"/>
      <c r="BN236" s="151"/>
      <c r="BO236" s="151"/>
      <c r="BP236" s="151"/>
      <c r="BQ236" s="151"/>
      <c r="BR236" s="151"/>
    </row>
    <row r="237" s="140" customFormat="true" ht="15" hidden="false" customHeight="false" outlineLevel="0" collapsed="false">
      <c r="A237" s="129" t="s">
        <v>753</v>
      </c>
      <c r="B237" s="130" t="s">
        <v>1090</v>
      </c>
      <c r="C237" s="131" t="s">
        <v>1393</v>
      </c>
      <c r="D237" s="132"/>
      <c r="E237" s="132"/>
      <c r="F237" s="132"/>
      <c r="G237" s="133"/>
      <c r="H237" s="134" t="s">
        <v>755</v>
      </c>
      <c r="I237" s="135" t="s">
        <v>88</v>
      </c>
      <c r="J237" s="136" t="s">
        <v>755</v>
      </c>
      <c r="K237" s="137" t="s">
        <v>88</v>
      </c>
      <c r="L237" s="138" t="s">
        <v>1394</v>
      </c>
      <c r="M237" s="138" t="s">
        <v>1395</v>
      </c>
      <c r="N237" s="138"/>
      <c r="O237" s="138"/>
      <c r="P237" s="138"/>
      <c r="Q237" s="138"/>
      <c r="R237" s="138"/>
      <c r="S237" s="138"/>
      <c r="T237" s="138"/>
      <c r="U237" s="138"/>
      <c r="V237" s="138"/>
      <c r="W237" s="138"/>
      <c r="X237" s="138"/>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138"/>
      <c r="AT237" s="138"/>
      <c r="AU237" s="138"/>
      <c r="AV237" s="138"/>
      <c r="AW237" s="138"/>
      <c r="AX237" s="138"/>
      <c r="AY237" s="139"/>
      <c r="AZ237" s="139"/>
      <c r="BA237" s="139"/>
      <c r="BB237" s="139"/>
      <c r="BC237" s="139"/>
      <c r="BD237" s="139"/>
      <c r="BE237" s="139"/>
      <c r="BF237" s="139"/>
      <c r="BG237" s="139"/>
      <c r="BH237" s="139"/>
      <c r="BI237" s="139"/>
      <c r="BJ237" s="139"/>
      <c r="BK237" s="139"/>
      <c r="BL237" s="139"/>
      <c r="BM237" s="139"/>
      <c r="BN237" s="139"/>
      <c r="BO237" s="139"/>
      <c r="BP237" s="139"/>
      <c r="BQ237" s="139"/>
      <c r="BR237" s="139"/>
    </row>
    <row r="238" s="75" customFormat="true" ht="15" hidden="false" customHeight="false" outlineLevel="0" collapsed="false">
      <c r="A238" s="141"/>
      <c r="B238" s="142"/>
      <c r="C238" s="143"/>
      <c r="D238" s="144"/>
      <c r="E238" s="144"/>
      <c r="F238" s="144"/>
      <c r="G238" s="145"/>
      <c r="H238" s="146"/>
      <c r="I238" s="147"/>
      <c r="J238" s="148"/>
      <c r="K238" s="149"/>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50"/>
      <c r="AM238" s="150"/>
      <c r="AN238" s="150"/>
      <c r="AO238" s="150"/>
      <c r="AP238" s="150"/>
      <c r="AQ238" s="150"/>
      <c r="AR238" s="150"/>
      <c r="AS238" s="150"/>
      <c r="AT238" s="150"/>
      <c r="AU238" s="150"/>
      <c r="AV238" s="150"/>
      <c r="AW238" s="150"/>
      <c r="AX238" s="150"/>
      <c r="AY238" s="151"/>
      <c r="AZ238" s="151"/>
      <c r="BA238" s="151"/>
      <c r="BB238" s="151"/>
      <c r="BC238" s="151"/>
      <c r="BD238" s="151"/>
      <c r="BE238" s="151"/>
      <c r="BF238" s="151"/>
      <c r="BG238" s="151"/>
      <c r="BH238" s="151"/>
      <c r="BI238" s="151"/>
      <c r="BJ238" s="151"/>
      <c r="BK238" s="151"/>
      <c r="BL238" s="151"/>
      <c r="BM238" s="151"/>
      <c r="BN238" s="151"/>
      <c r="BO238" s="151"/>
      <c r="BP238" s="151"/>
      <c r="BQ238" s="151"/>
      <c r="BR238" s="151"/>
    </row>
    <row r="239" s="75" customFormat="true" ht="45" hidden="false" customHeight="false" outlineLevel="0" collapsed="false">
      <c r="A239" s="141" t="s">
        <v>776</v>
      </c>
      <c r="B239" s="142" t="s">
        <v>1373</v>
      </c>
      <c r="C239" s="143" t="s">
        <v>1396</v>
      </c>
      <c r="D239" s="144"/>
      <c r="E239" s="144"/>
      <c r="F239" s="144"/>
      <c r="G239" s="145"/>
      <c r="H239" s="146" t="s">
        <v>750</v>
      </c>
      <c r="I239" s="147" t="s">
        <v>88</v>
      </c>
      <c r="J239" s="148" t="s">
        <v>750</v>
      </c>
      <c r="K239" s="149" t="s">
        <v>88</v>
      </c>
      <c r="L239" s="150" t="s">
        <v>1389</v>
      </c>
      <c r="M239" s="150" t="s">
        <v>1390</v>
      </c>
      <c r="N239" s="150" t="s">
        <v>1391</v>
      </c>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50"/>
      <c r="AM239" s="150"/>
      <c r="AN239" s="150"/>
      <c r="AO239" s="150"/>
      <c r="AP239" s="150"/>
      <c r="AQ239" s="150"/>
      <c r="AR239" s="150"/>
      <c r="AS239" s="150"/>
      <c r="AT239" s="150"/>
      <c r="AU239" s="150"/>
      <c r="AV239" s="150"/>
      <c r="AW239" s="150"/>
      <c r="AX239" s="150"/>
      <c r="AY239" s="151"/>
      <c r="AZ239" s="151"/>
      <c r="BA239" s="151"/>
      <c r="BB239" s="151"/>
      <c r="BC239" s="151"/>
      <c r="BD239" s="151"/>
      <c r="BE239" s="151"/>
      <c r="BF239" s="151"/>
      <c r="BG239" s="151"/>
      <c r="BH239" s="151"/>
      <c r="BI239" s="151"/>
      <c r="BJ239" s="151"/>
      <c r="BK239" s="151"/>
      <c r="BL239" s="151"/>
      <c r="BM239" s="151"/>
      <c r="BN239" s="151"/>
      <c r="BO239" s="151"/>
      <c r="BP239" s="151"/>
      <c r="BQ239" s="151"/>
      <c r="BR239" s="151"/>
    </row>
    <row r="240" s="75" customFormat="true" ht="15" hidden="false" customHeight="false" outlineLevel="0" collapsed="false">
      <c r="A240" s="141"/>
      <c r="B240" s="142"/>
      <c r="C240" s="143"/>
      <c r="D240" s="144"/>
      <c r="E240" s="144"/>
      <c r="F240" s="144"/>
      <c r="G240" s="145"/>
      <c r="H240" s="146"/>
      <c r="I240" s="147"/>
      <c r="J240" s="148"/>
      <c r="K240" s="149"/>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50"/>
      <c r="AM240" s="150"/>
      <c r="AN240" s="150"/>
      <c r="AO240" s="150"/>
      <c r="AP240" s="150"/>
      <c r="AQ240" s="150"/>
      <c r="AR240" s="150"/>
      <c r="AS240" s="150"/>
      <c r="AT240" s="150"/>
      <c r="AU240" s="150"/>
      <c r="AV240" s="150"/>
      <c r="AW240" s="150"/>
      <c r="AX240" s="150"/>
      <c r="AY240" s="151"/>
      <c r="AZ240" s="151"/>
      <c r="BA240" s="151"/>
      <c r="BB240" s="151"/>
      <c r="BC240" s="151"/>
      <c r="BD240" s="151"/>
      <c r="BE240" s="151"/>
      <c r="BF240" s="151"/>
      <c r="BG240" s="151"/>
      <c r="BH240" s="151"/>
      <c r="BI240" s="151"/>
      <c r="BJ240" s="151"/>
      <c r="BK240" s="151"/>
      <c r="BL240" s="151"/>
      <c r="BM240" s="151"/>
      <c r="BN240" s="151"/>
      <c r="BO240" s="151"/>
      <c r="BP240" s="151"/>
      <c r="BQ240" s="151"/>
      <c r="BR240" s="151"/>
    </row>
    <row r="241" s="75" customFormat="true" ht="30" hidden="false" customHeight="false" outlineLevel="0" collapsed="false">
      <c r="A241" s="141" t="s">
        <v>788</v>
      </c>
      <c r="B241" s="142" t="s">
        <v>1152</v>
      </c>
      <c r="C241" s="143" t="s">
        <v>1397</v>
      </c>
      <c r="D241" s="144" t="s">
        <v>1086</v>
      </c>
      <c r="E241" s="144" t="s">
        <v>1086</v>
      </c>
      <c r="F241" s="144" t="s">
        <v>1087</v>
      </c>
      <c r="G241" s="145" t="s">
        <v>1087</v>
      </c>
      <c r="H241" s="146" t="s">
        <v>81</v>
      </c>
      <c r="I241" s="147" t="s">
        <v>82</v>
      </c>
      <c r="J241" s="148" t="s">
        <v>81</v>
      </c>
      <c r="K241" s="149" t="s">
        <v>82</v>
      </c>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50"/>
      <c r="AM241" s="150"/>
      <c r="AN241" s="150"/>
      <c r="AO241" s="150"/>
      <c r="AP241" s="150"/>
      <c r="AQ241" s="150"/>
      <c r="AR241" s="150"/>
      <c r="AS241" s="150"/>
      <c r="AT241" s="150"/>
      <c r="AU241" s="150"/>
      <c r="AV241" s="150"/>
      <c r="AW241" s="150"/>
      <c r="AX241" s="150"/>
      <c r="AY241" s="151"/>
      <c r="AZ241" s="151"/>
      <c r="BA241" s="151"/>
      <c r="BB241" s="151"/>
      <c r="BC241" s="151"/>
      <c r="BD241" s="151"/>
      <c r="BE241" s="151"/>
      <c r="BF241" s="151"/>
      <c r="BG241" s="151"/>
      <c r="BH241" s="151"/>
      <c r="BI241" s="151"/>
      <c r="BJ241" s="151"/>
      <c r="BK241" s="151"/>
      <c r="BL241" s="151"/>
      <c r="BM241" s="151"/>
      <c r="BN241" s="151"/>
      <c r="BO241" s="151"/>
      <c r="BP241" s="151"/>
      <c r="BQ241" s="151"/>
      <c r="BR241" s="151"/>
    </row>
    <row r="242" s="75" customFormat="true" ht="30" hidden="false" customHeight="false" outlineLevel="0" collapsed="false">
      <c r="A242" s="141" t="s">
        <v>792</v>
      </c>
      <c r="B242" s="142" t="s">
        <v>1152</v>
      </c>
      <c r="C242" s="143" t="s">
        <v>1398</v>
      </c>
      <c r="D242" s="144" t="s">
        <v>1086</v>
      </c>
      <c r="E242" s="144" t="s">
        <v>1086</v>
      </c>
      <c r="F242" s="144" t="s">
        <v>1089</v>
      </c>
      <c r="G242" s="145" t="s">
        <v>1089</v>
      </c>
      <c r="H242" s="146" t="s">
        <v>81</v>
      </c>
      <c r="I242" s="147" t="s">
        <v>82</v>
      </c>
      <c r="J242" s="148" t="s">
        <v>81</v>
      </c>
      <c r="K242" s="149" t="s">
        <v>82</v>
      </c>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50"/>
      <c r="AM242" s="150"/>
      <c r="AN242" s="150"/>
      <c r="AO242" s="150"/>
      <c r="AP242" s="150"/>
      <c r="AQ242" s="150"/>
      <c r="AR242" s="150"/>
      <c r="AS242" s="150"/>
      <c r="AT242" s="150"/>
      <c r="AU242" s="150"/>
      <c r="AV242" s="150"/>
      <c r="AW242" s="150"/>
      <c r="AX242" s="150"/>
      <c r="AY242" s="151"/>
      <c r="AZ242" s="151"/>
      <c r="BA242" s="151"/>
      <c r="BB242" s="151"/>
      <c r="BC242" s="151"/>
      <c r="BD242" s="151"/>
      <c r="BE242" s="151"/>
      <c r="BF242" s="151"/>
      <c r="BG242" s="151"/>
      <c r="BH242" s="151"/>
      <c r="BI242" s="151"/>
      <c r="BJ242" s="151"/>
      <c r="BK242" s="151"/>
      <c r="BL242" s="151"/>
      <c r="BM242" s="151"/>
      <c r="BN242" s="151"/>
      <c r="BO242" s="151"/>
      <c r="BP242" s="151"/>
      <c r="BQ242" s="151"/>
      <c r="BR242" s="151"/>
    </row>
    <row r="243" s="75" customFormat="true" ht="15" hidden="false" customHeight="false" outlineLevel="0" collapsed="false">
      <c r="A243" s="141"/>
      <c r="B243" s="142"/>
      <c r="C243" s="143"/>
      <c r="D243" s="144"/>
      <c r="E243" s="144"/>
      <c r="F243" s="144"/>
      <c r="G243" s="145"/>
      <c r="H243" s="146"/>
      <c r="I243" s="147"/>
      <c r="J243" s="148"/>
      <c r="K243" s="149"/>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50"/>
      <c r="AM243" s="150"/>
      <c r="AN243" s="150"/>
      <c r="AO243" s="150"/>
      <c r="AP243" s="150"/>
      <c r="AQ243" s="150"/>
      <c r="AR243" s="150"/>
      <c r="AS243" s="150"/>
      <c r="AT243" s="150"/>
      <c r="AU243" s="150"/>
      <c r="AV243" s="150"/>
      <c r="AW243" s="150"/>
      <c r="AX243" s="150"/>
      <c r="AY243" s="151"/>
      <c r="AZ243" s="151"/>
      <c r="BA243" s="151"/>
      <c r="BB243" s="151"/>
      <c r="BC243" s="151"/>
      <c r="BD243" s="151"/>
      <c r="BE243" s="151"/>
      <c r="BF243" s="151"/>
      <c r="BG243" s="151"/>
      <c r="BH243" s="151"/>
      <c r="BI243" s="151"/>
      <c r="BJ243" s="151"/>
      <c r="BK243" s="151"/>
      <c r="BL243" s="151"/>
      <c r="BM243" s="151"/>
      <c r="BN243" s="151"/>
      <c r="BO243" s="151"/>
      <c r="BP243" s="151"/>
      <c r="BQ243" s="151"/>
      <c r="BR243" s="151"/>
    </row>
    <row r="244" s="75" customFormat="true" ht="45" hidden="false" customHeight="false" outlineLevel="0" collapsed="false">
      <c r="A244" s="141" t="s">
        <v>804</v>
      </c>
      <c r="B244" s="142" t="s">
        <v>1373</v>
      </c>
      <c r="C244" s="143" t="s">
        <v>1399</v>
      </c>
      <c r="D244" s="144"/>
      <c r="E244" s="144"/>
      <c r="F244" s="144"/>
      <c r="G244" s="145"/>
      <c r="H244" s="146" t="s">
        <v>153</v>
      </c>
      <c r="I244" s="147" t="s">
        <v>88</v>
      </c>
      <c r="J244" s="148" t="s">
        <v>153</v>
      </c>
      <c r="K244" s="149" t="s">
        <v>88</v>
      </c>
      <c r="L244" s="150" t="s">
        <v>1389</v>
      </c>
      <c r="M244" s="150" t="s">
        <v>1390</v>
      </c>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50"/>
      <c r="AM244" s="150"/>
      <c r="AN244" s="150"/>
      <c r="AO244" s="150"/>
      <c r="AP244" s="150"/>
      <c r="AQ244" s="150"/>
      <c r="AR244" s="150"/>
      <c r="AS244" s="150"/>
      <c r="AT244" s="150"/>
      <c r="AU244" s="150"/>
      <c r="AV244" s="150"/>
      <c r="AW244" s="150"/>
      <c r="AX244" s="150"/>
      <c r="AY244" s="151"/>
      <c r="AZ244" s="151"/>
      <c r="BA244" s="151"/>
      <c r="BB244" s="151"/>
      <c r="BC244" s="151"/>
      <c r="BD244" s="151"/>
      <c r="BE244" s="151"/>
      <c r="BF244" s="151"/>
      <c r="BG244" s="151"/>
      <c r="BH244" s="151"/>
      <c r="BI244" s="151"/>
      <c r="BJ244" s="151"/>
      <c r="BK244" s="151"/>
      <c r="BL244" s="151"/>
      <c r="BM244" s="151"/>
      <c r="BN244" s="151"/>
      <c r="BO244" s="151"/>
      <c r="BP244" s="151"/>
      <c r="BQ244" s="151"/>
      <c r="BR244" s="151"/>
    </row>
    <row r="245" s="75" customFormat="true" ht="15" hidden="false" customHeight="false" outlineLevel="0" collapsed="false">
      <c r="A245" s="141"/>
      <c r="B245" s="142"/>
      <c r="C245" s="143"/>
      <c r="D245" s="144"/>
      <c r="E245" s="144"/>
      <c r="F245" s="144"/>
      <c r="G245" s="145"/>
      <c r="H245" s="146"/>
      <c r="I245" s="147"/>
      <c r="J245" s="148"/>
      <c r="K245" s="149"/>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50"/>
      <c r="AM245" s="150"/>
      <c r="AN245" s="150"/>
      <c r="AO245" s="150"/>
      <c r="AP245" s="150"/>
      <c r="AQ245" s="150"/>
      <c r="AR245" s="150"/>
      <c r="AS245" s="150"/>
      <c r="AT245" s="150"/>
      <c r="AU245" s="150"/>
      <c r="AV245" s="150"/>
      <c r="AW245" s="150"/>
      <c r="AX245" s="150"/>
      <c r="AY245" s="151"/>
      <c r="AZ245" s="151"/>
      <c r="BA245" s="151"/>
      <c r="BB245" s="151"/>
      <c r="BC245" s="151"/>
      <c r="BD245" s="151"/>
      <c r="BE245" s="151"/>
      <c r="BF245" s="151"/>
      <c r="BG245" s="151"/>
      <c r="BH245" s="151"/>
      <c r="BI245" s="151"/>
      <c r="BJ245" s="151"/>
      <c r="BK245" s="151"/>
      <c r="BL245" s="151"/>
      <c r="BM245" s="151"/>
      <c r="BN245" s="151"/>
      <c r="BO245" s="151"/>
      <c r="BP245" s="151"/>
      <c r="BQ245" s="151"/>
      <c r="BR245" s="151"/>
    </row>
    <row r="246" s="75" customFormat="true" ht="30" hidden="false" customHeight="false" outlineLevel="0" collapsed="false">
      <c r="A246" s="141" t="s">
        <v>806</v>
      </c>
      <c r="B246" s="142" t="s">
        <v>1118</v>
      </c>
      <c r="C246" s="143" t="s">
        <v>1400</v>
      </c>
      <c r="D246" s="144"/>
      <c r="E246" s="144"/>
      <c r="F246" s="144"/>
      <c r="G246" s="145"/>
      <c r="H246" s="146" t="s">
        <v>814</v>
      </c>
      <c r="I246" s="147" t="s">
        <v>88</v>
      </c>
      <c r="J246" s="148" t="s">
        <v>814</v>
      </c>
      <c r="K246" s="149" t="s">
        <v>88</v>
      </c>
      <c r="L246" s="150" t="s">
        <v>1401</v>
      </c>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50"/>
      <c r="AM246" s="150"/>
      <c r="AN246" s="150"/>
      <c r="AO246" s="150"/>
      <c r="AP246" s="150"/>
      <c r="AQ246" s="150"/>
      <c r="AR246" s="150"/>
      <c r="AS246" s="150"/>
      <c r="AT246" s="150"/>
      <c r="AU246" s="150"/>
      <c r="AV246" s="150"/>
      <c r="AW246" s="150"/>
      <c r="AX246" s="150"/>
      <c r="AY246" s="151"/>
      <c r="AZ246" s="151"/>
      <c r="BA246" s="151"/>
      <c r="BB246" s="151"/>
      <c r="BC246" s="151"/>
      <c r="BD246" s="151"/>
      <c r="BE246" s="151"/>
      <c r="BF246" s="151"/>
      <c r="BG246" s="151"/>
      <c r="BH246" s="151"/>
      <c r="BI246" s="151"/>
      <c r="BJ246" s="151"/>
      <c r="BK246" s="151"/>
      <c r="BL246" s="151"/>
      <c r="BM246" s="151"/>
      <c r="BN246" s="151"/>
      <c r="BO246" s="151"/>
      <c r="BP246" s="151"/>
      <c r="BQ246" s="151"/>
      <c r="BR246" s="151"/>
    </row>
    <row r="247" s="140" customFormat="true" ht="30" hidden="false" customHeight="false" outlineLevel="0" collapsed="false">
      <c r="A247" s="129" t="s">
        <v>815</v>
      </c>
      <c r="B247" s="130" t="s">
        <v>1118</v>
      </c>
      <c r="C247" s="131" t="s">
        <v>1402</v>
      </c>
      <c r="D247" s="132"/>
      <c r="E247" s="132"/>
      <c r="F247" s="132"/>
      <c r="G247" s="133"/>
      <c r="H247" s="134" t="s">
        <v>818</v>
      </c>
      <c r="I247" s="135" t="s">
        <v>88</v>
      </c>
      <c r="J247" s="136" t="s">
        <v>818</v>
      </c>
      <c r="K247" s="137" t="s">
        <v>88</v>
      </c>
      <c r="L247" s="138" t="s">
        <v>1403</v>
      </c>
      <c r="M247" s="138"/>
      <c r="N247" s="138"/>
      <c r="O247" s="138"/>
      <c r="P247" s="138"/>
      <c r="Q247" s="138"/>
      <c r="R247" s="138"/>
      <c r="S247" s="138"/>
      <c r="T247" s="138"/>
      <c r="U247" s="138"/>
      <c r="V247" s="138"/>
      <c r="W247" s="138"/>
      <c r="X247" s="138"/>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138"/>
      <c r="AT247" s="138"/>
      <c r="AU247" s="138"/>
      <c r="AV247" s="138"/>
      <c r="AW247" s="138"/>
      <c r="AX247" s="138"/>
      <c r="AY247" s="139"/>
      <c r="AZ247" s="139"/>
      <c r="BA247" s="139"/>
      <c r="BB247" s="139"/>
      <c r="BC247" s="139"/>
      <c r="BD247" s="139"/>
      <c r="BE247" s="139"/>
      <c r="BF247" s="139"/>
      <c r="BG247" s="139"/>
      <c r="BH247" s="139"/>
      <c r="BI247" s="139"/>
      <c r="BJ247" s="139"/>
      <c r="BK247" s="139"/>
      <c r="BL247" s="139"/>
      <c r="BM247" s="139"/>
      <c r="BN247" s="139"/>
      <c r="BO247" s="139"/>
      <c r="BP247" s="139"/>
      <c r="BQ247" s="139"/>
      <c r="BR247" s="139"/>
    </row>
    <row r="248" s="75" customFormat="true" ht="15" hidden="false" customHeight="false" outlineLevel="0" collapsed="false">
      <c r="A248" s="141"/>
      <c r="B248" s="142"/>
      <c r="C248" s="143"/>
      <c r="D248" s="144"/>
      <c r="E248" s="144"/>
      <c r="F248" s="144"/>
      <c r="G248" s="145"/>
      <c r="H248" s="146"/>
      <c r="I248" s="147"/>
      <c r="J248" s="148"/>
      <c r="K248" s="149"/>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50"/>
      <c r="AM248" s="150"/>
      <c r="AN248" s="150"/>
      <c r="AO248" s="150"/>
      <c r="AP248" s="150"/>
      <c r="AQ248" s="150"/>
      <c r="AR248" s="150"/>
      <c r="AS248" s="150"/>
      <c r="AT248" s="150"/>
      <c r="AU248" s="150"/>
      <c r="AV248" s="150"/>
      <c r="AW248" s="150"/>
      <c r="AX248" s="150"/>
      <c r="AY248" s="151"/>
      <c r="AZ248" s="151"/>
      <c r="BA248" s="151"/>
      <c r="BB248" s="151"/>
      <c r="BC248" s="151"/>
      <c r="BD248" s="151"/>
      <c r="BE248" s="151"/>
      <c r="BF248" s="151"/>
      <c r="BG248" s="151"/>
      <c r="BH248" s="151"/>
      <c r="BI248" s="151"/>
      <c r="BJ248" s="151"/>
      <c r="BK248" s="151"/>
      <c r="BL248" s="151"/>
      <c r="BM248" s="151"/>
      <c r="BN248" s="151"/>
      <c r="BO248" s="151"/>
      <c r="BP248" s="151"/>
      <c r="BQ248" s="151"/>
      <c r="BR248" s="151"/>
    </row>
    <row r="249" s="75" customFormat="true" ht="30" hidden="false" customHeight="false" outlineLevel="0" collapsed="false">
      <c r="A249" s="141" t="s">
        <v>819</v>
      </c>
      <c r="B249" s="142" t="s">
        <v>1118</v>
      </c>
      <c r="C249" s="143" t="s">
        <v>1404</v>
      </c>
      <c r="D249" s="144"/>
      <c r="E249" s="144"/>
      <c r="F249" s="144"/>
      <c r="G249" s="145"/>
      <c r="H249" s="146" t="s">
        <v>153</v>
      </c>
      <c r="I249" s="147" t="s">
        <v>88</v>
      </c>
      <c r="J249" s="148" t="s">
        <v>153</v>
      </c>
      <c r="K249" s="149" t="s">
        <v>88</v>
      </c>
      <c r="L249" s="150" t="s">
        <v>1405</v>
      </c>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50"/>
      <c r="AM249" s="150"/>
      <c r="AN249" s="150"/>
      <c r="AO249" s="150"/>
      <c r="AP249" s="150"/>
      <c r="AQ249" s="150"/>
      <c r="AR249" s="150"/>
      <c r="AS249" s="150"/>
      <c r="AT249" s="150"/>
      <c r="AU249" s="150"/>
      <c r="AV249" s="150"/>
      <c r="AW249" s="150"/>
      <c r="AX249" s="150"/>
      <c r="AY249" s="151"/>
      <c r="AZ249" s="151"/>
      <c r="BA249" s="151"/>
      <c r="BB249" s="151"/>
      <c r="BC249" s="151"/>
      <c r="BD249" s="151"/>
      <c r="BE249" s="151"/>
      <c r="BF249" s="151"/>
      <c r="BG249" s="151"/>
      <c r="BH249" s="151"/>
      <c r="BI249" s="151"/>
      <c r="BJ249" s="151"/>
      <c r="BK249" s="151"/>
      <c r="BL249" s="151"/>
      <c r="BM249" s="151"/>
      <c r="BN249" s="151"/>
      <c r="BO249" s="151"/>
      <c r="BP249" s="151"/>
      <c r="BQ249" s="151"/>
      <c r="BR249" s="151"/>
    </row>
    <row r="250" s="75" customFormat="true" ht="15" hidden="false" customHeight="false" outlineLevel="0" collapsed="false">
      <c r="A250" s="141"/>
      <c r="B250" s="142"/>
      <c r="C250" s="143"/>
      <c r="D250" s="144"/>
      <c r="E250" s="144"/>
      <c r="F250" s="144"/>
      <c r="G250" s="145"/>
      <c r="H250" s="146"/>
      <c r="I250" s="147"/>
      <c r="J250" s="148"/>
      <c r="K250" s="149"/>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50"/>
      <c r="AM250" s="150"/>
      <c r="AN250" s="150"/>
      <c r="AO250" s="150"/>
      <c r="AP250" s="150"/>
      <c r="AQ250" s="150"/>
      <c r="AR250" s="150"/>
      <c r="AS250" s="150"/>
      <c r="AT250" s="150"/>
      <c r="AU250" s="150"/>
      <c r="AV250" s="150"/>
      <c r="AW250" s="150"/>
      <c r="AX250" s="150"/>
      <c r="AY250" s="151"/>
      <c r="AZ250" s="151"/>
      <c r="BA250" s="151"/>
      <c r="BB250" s="151"/>
      <c r="BC250" s="151"/>
      <c r="BD250" s="151"/>
      <c r="BE250" s="151"/>
      <c r="BF250" s="151"/>
      <c r="BG250" s="151"/>
      <c r="BH250" s="151"/>
      <c r="BI250" s="151"/>
      <c r="BJ250" s="151"/>
      <c r="BK250" s="151"/>
      <c r="BL250" s="151"/>
      <c r="BM250" s="151"/>
      <c r="BN250" s="151"/>
      <c r="BO250" s="151"/>
      <c r="BP250" s="151"/>
      <c r="BQ250" s="151"/>
      <c r="BR250" s="151"/>
    </row>
    <row r="251" s="75" customFormat="true" ht="30" hidden="false" customHeight="false" outlineLevel="0" collapsed="false">
      <c r="A251" s="141" t="s">
        <v>821</v>
      </c>
      <c r="B251" s="142" t="s">
        <v>1152</v>
      </c>
      <c r="C251" s="143" t="s">
        <v>1406</v>
      </c>
      <c r="D251" s="144" t="s">
        <v>1086</v>
      </c>
      <c r="E251" s="144" t="s">
        <v>1086</v>
      </c>
      <c r="F251" s="144" t="s">
        <v>1087</v>
      </c>
      <c r="G251" s="145" t="s">
        <v>1087</v>
      </c>
      <c r="H251" s="146" t="s">
        <v>81</v>
      </c>
      <c r="I251" s="147" t="s">
        <v>82</v>
      </c>
      <c r="J251" s="148" t="s">
        <v>81</v>
      </c>
      <c r="K251" s="149" t="s">
        <v>82</v>
      </c>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50"/>
      <c r="AM251" s="150"/>
      <c r="AN251" s="150"/>
      <c r="AO251" s="150"/>
      <c r="AP251" s="150"/>
      <c r="AQ251" s="150"/>
      <c r="AR251" s="150"/>
      <c r="AS251" s="150"/>
      <c r="AT251" s="150"/>
      <c r="AU251" s="150"/>
      <c r="AV251" s="150"/>
      <c r="AW251" s="150"/>
      <c r="AX251" s="150"/>
      <c r="AY251" s="151"/>
      <c r="AZ251" s="151"/>
      <c r="BA251" s="151"/>
      <c r="BB251" s="151"/>
      <c r="BC251" s="151"/>
      <c r="BD251" s="151"/>
      <c r="BE251" s="151"/>
      <c r="BF251" s="151"/>
      <c r="BG251" s="151"/>
      <c r="BH251" s="151"/>
      <c r="BI251" s="151"/>
      <c r="BJ251" s="151"/>
      <c r="BK251" s="151"/>
      <c r="BL251" s="151"/>
      <c r="BM251" s="151"/>
      <c r="BN251" s="151"/>
      <c r="BO251" s="151"/>
      <c r="BP251" s="151"/>
      <c r="BQ251" s="151"/>
      <c r="BR251" s="151"/>
    </row>
    <row r="252" s="75" customFormat="true" ht="30" hidden="false" customHeight="false" outlineLevel="0" collapsed="false">
      <c r="A252" s="141" t="s">
        <v>826</v>
      </c>
      <c r="B252" s="142" t="s">
        <v>1152</v>
      </c>
      <c r="C252" s="143" t="s">
        <v>1407</v>
      </c>
      <c r="D252" s="144" t="s">
        <v>1086</v>
      </c>
      <c r="E252" s="144" t="s">
        <v>1086</v>
      </c>
      <c r="F252" s="144" t="s">
        <v>1089</v>
      </c>
      <c r="G252" s="145" t="s">
        <v>1089</v>
      </c>
      <c r="H252" s="146" t="s">
        <v>81</v>
      </c>
      <c r="I252" s="147" t="s">
        <v>82</v>
      </c>
      <c r="J252" s="148" t="s">
        <v>81</v>
      </c>
      <c r="K252" s="149" t="s">
        <v>82</v>
      </c>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50"/>
      <c r="AM252" s="150"/>
      <c r="AN252" s="150"/>
      <c r="AO252" s="150"/>
      <c r="AP252" s="150"/>
      <c r="AQ252" s="150"/>
      <c r="AR252" s="150"/>
      <c r="AS252" s="150"/>
      <c r="AT252" s="150"/>
      <c r="AU252" s="150"/>
      <c r="AV252" s="150"/>
      <c r="AW252" s="150"/>
      <c r="AX252" s="150"/>
      <c r="AY252" s="151"/>
      <c r="AZ252" s="151"/>
      <c r="BA252" s="151"/>
      <c r="BB252" s="151"/>
      <c r="BC252" s="151"/>
      <c r="BD252" s="151"/>
      <c r="BE252" s="151"/>
      <c r="BF252" s="151"/>
      <c r="BG252" s="151"/>
      <c r="BH252" s="151"/>
      <c r="BI252" s="151"/>
      <c r="BJ252" s="151"/>
      <c r="BK252" s="151"/>
      <c r="BL252" s="151"/>
      <c r="BM252" s="151"/>
      <c r="BN252" s="151"/>
      <c r="BO252" s="151"/>
      <c r="BP252" s="151"/>
      <c r="BQ252" s="151"/>
      <c r="BR252" s="151"/>
    </row>
    <row r="253" s="75" customFormat="true" ht="15" hidden="false" customHeight="false" outlineLevel="0" collapsed="false">
      <c r="A253" s="141"/>
      <c r="B253" s="142"/>
      <c r="C253" s="143"/>
      <c r="D253" s="144"/>
      <c r="E253" s="144"/>
      <c r="F253" s="144"/>
      <c r="G253" s="145"/>
      <c r="H253" s="146"/>
      <c r="I253" s="147"/>
      <c r="J253" s="148"/>
      <c r="K253" s="149"/>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50"/>
      <c r="AM253" s="150"/>
      <c r="AN253" s="150"/>
      <c r="AO253" s="150"/>
      <c r="AP253" s="150"/>
      <c r="AQ253" s="150"/>
      <c r="AR253" s="150"/>
      <c r="AS253" s="150"/>
      <c r="AT253" s="150"/>
      <c r="AU253" s="150"/>
      <c r="AV253" s="150"/>
      <c r="AW253" s="150"/>
      <c r="AX253" s="150"/>
      <c r="AY253" s="151"/>
      <c r="AZ253" s="151"/>
      <c r="BA253" s="151"/>
      <c r="BB253" s="151"/>
      <c r="BC253" s="151"/>
      <c r="BD253" s="151"/>
      <c r="BE253" s="151"/>
      <c r="BF253" s="151"/>
      <c r="BG253" s="151"/>
      <c r="BH253" s="151"/>
      <c r="BI253" s="151"/>
      <c r="BJ253" s="151"/>
      <c r="BK253" s="151"/>
      <c r="BL253" s="151"/>
      <c r="BM253" s="151"/>
      <c r="BN253" s="151"/>
      <c r="BO253" s="151"/>
      <c r="BP253" s="151"/>
      <c r="BQ253" s="151"/>
      <c r="BR253" s="151"/>
    </row>
    <row r="254" s="75" customFormat="true" ht="15" hidden="false" customHeight="false" outlineLevel="0" collapsed="false">
      <c r="A254" s="141" t="s">
        <v>849</v>
      </c>
      <c r="B254" s="142" t="s">
        <v>1090</v>
      </c>
      <c r="C254" s="143" t="s">
        <v>1408</v>
      </c>
      <c r="D254" s="144"/>
      <c r="E254" s="144"/>
      <c r="F254" s="144"/>
      <c r="G254" s="145"/>
      <c r="H254" s="146" t="s">
        <v>81</v>
      </c>
      <c r="I254" s="147" t="s">
        <v>1409</v>
      </c>
      <c r="J254" s="148" t="s">
        <v>81</v>
      </c>
      <c r="K254" s="149" t="s">
        <v>88</v>
      </c>
      <c r="L254" s="150" t="s">
        <v>1410</v>
      </c>
      <c r="M254" s="150" t="s">
        <v>1411</v>
      </c>
      <c r="N254" s="150" t="s">
        <v>1412</v>
      </c>
      <c r="O254" s="150" t="s">
        <v>1413</v>
      </c>
      <c r="P254" s="150" t="s">
        <v>1414</v>
      </c>
      <c r="Q254" s="150" t="s">
        <v>1415</v>
      </c>
      <c r="R254" s="150" t="s">
        <v>1416</v>
      </c>
      <c r="S254" s="150" t="s">
        <v>1417</v>
      </c>
      <c r="T254" s="150"/>
      <c r="U254" s="150"/>
      <c r="V254" s="150"/>
      <c r="W254" s="150"/>
      <c r="X254" s="150"/>
      <c r="Y254" s="150"/>
      <c r="Z254" s="150"/>
      <c r="AA254" s="150"/>
      <c r="AB254" s="150"/>
      <c r="AC254" s="150"/>
      <c r="AD254" s="150"/>
      <c r="AE254" s="150"/>
      <c r="AF254" s="150"/>
      <c r="AG254" s="150"/>
      <c r="AH254" s="150"/>
      <c r="AI254" s="150"/>
      <c r="AJ254" s="150"/>
      <c r="AK254" s="150"/>
      <c r="AL254" s="150"/>
      <c r="AM254" s="150"/>
      <c r="AN254" s="150"/>
      <c r="AO254" s="150"/>
      <c r="AP254" s="150"/>
      <c r="AQ254" s="150"/>
      <c r="AR254" s="150"/>
      <c r="AS254" s="150"/>
      <c r="AT254" s="150"/>
      <c r="AU254" s="150"/>
      <c r="AV254" s="150"/>
      <c r="AW254" s="150"/>
      <c r="AX254" s="150"/>
      <c r="AY254" s="151"/>
      <c r="AZ254" s="151"/>
      <c r="BA254" s="151"/>
      <c r="BB254" s="151"/>
      <c r="BC254" s="151"/>
      <c r="BD254" s="151"/>
      <c r="BE254" s="151"/>
      <c r="BF254" s="151"/>
      <c r="BG254" s="151"/>
      <c r="BH254" s="151"/>
      <c r="BI254" s="151"/>
      <c r="BJ254" s="151"/>
      <c r="BK254" s="151"/>
      <c r="BL254" s="151"/>
      <c r="BM254" s="151"/>
      <c r="BN254" s="151"/>
      <c r="BO254" s="151"/>
      <c r="BP254" s="151"/>
      <c r="BQ254" s="151"/>
      <c r="BR254" s="151"/>
    </row>
    <row r="255" s="75" customFormat="true" ht="15" hidden="false" customHeight="false" outlineLevel="0" collapsed="false">
      <c r="A255" s="141"/>
      <c r="B255" s="142"/>
      <c r="C255" s="143"/>
      <c r="D255" s="144"/>
      <c r="E255" s="144"/>
      <c r="F255" s="144"/>
      <c r="G255" s="145"/>
      <c r="H255" s="146"/>
      <c r="I255" s="147"/>
      <c r="J255" s="148"/>
      <c r="K255" s="149"/>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50"/>
      <c r="AM255" s="150"/>
      <c r="AN255" s="150"/>
      <c r="AO255" s="150"/>
      <c r="AP255" s="150"/>
      <c r="AQ255" s="150"/>
      <c r="AR255" s="150"/>
      <c r="AS255" s="150"/>
      <c r="AT255" s="150"/>
      <c r="AU255" s="150"/>
      <c r="AV255" s="150"/>
      <c r="AW255" s="150"/>
      <c r="AX255" s="150"/>
      <c r="AY255" s="151"/>
      <c r="AZ255" s="151"/>
      <c r="BA255" s="151"/>
      <c r="BB255" s="151"/>
      <c r="BC255" s="151"/>
      <c r="BD255" s="151"/>
      <c r="BE255" s="151"/>
      <c r="BF255" s="151"/>
      <c r="BG255" s="151"/>
      <c r="BH255" s="151"/>
      <c r="BI255" s="151"/>
      <c r="BJ255" s="151"/>
      <c r="BK255" s="151"/>
      <c r="BL255" s="151"/>
      <c r="BM255" s="151"/>
      <c r="BN255" s="151"/>
      <c r="BO255" s="151"/>
      <c r="BP255" s="151"/>
      <c r="BQ255" s="151"/>
      <c r="BR255" s="151"/>
    </row>
    <row r="256" s="75" customFormat="true" ht="15" hidden="false" customHeight="false" outlineLevel="0" collapsed="false">
      <c r="A256" s="141" t="s">
        <v>851</v>
      </c>
      <c r="B256" s="142" t="s">
        <v>1090</v>
      </c>
      <c r="C256" s="143" t="s">
        <v>852</v>
      </c>
      <c r="D256" s="144"/>
      <c r="E256" s="144"/>
      <c r="F256" s="144"/>
      <c r="G256" s="145"/>
      <c r="H256" s="146" t="s">
        <v>81</v>
      </c>
      <c r="I256" s="147" t="s">
        <v>1409</v>
      </c>
      <c r="J256" s="148" t="s">
        <v>81</v>
      </c>
      <c r="K256" s="149" t="s">
        <v>88</v>
      </c>
      <c r="L256" s="150" t="s">
        <v>1418</v>
      </c>
      <c r="M256" s="150" t="s">
        <v>1419</v>
      </c>
      <c r="N256" s="150" t="s">
        <v>1420</v>
      </c>
      <c r="O256" s="150" t="s">
        <v>1421</v>
      </c>
      <c r="P256" s="150" t="s">
        <v>1422</v>
      </c>
      <c r="Q256" s="150" t="s">
        <v>1423</v>
      </c>
      <c r="R256" s="150" t="s">
        <v>1424</v>
      </c>
      <c r="S256" s="150" t="s">
        <v>1425</v>
      </c>
      <c r="T256" s="150" t="s">
        <v>1426</v>
      </c>
      <c r="U256" s="150" t="s">
        <v>1427</v>
      </c>
      <c r="V256" s="150" t="s">
        <v>1428</v>
      </c>
      <c r="W256" s="150" t="s">
        <v>1429</v>
      </c>
      <c r="X256" s="150"/>
      <c r="Y256" s="150"/>
      <c r="Z256" s="150"/>
      <c r="AA256" s="150"/>
      <c r="AB256" s="150"/>
      <c r="AC256" s="150"/>
      <c r="AD256" s="150"/>
      <c r="AE256" s="150"/>
      <c r="AF256" s="150"/>
      <c r="AG256" s="150"/>
      <c r="AH256" s="150"/>
      <c r="AI256" s="150"/>
      <c r="AJ256" s="150"/>
      <c r="AK256" s="150"/>
      <c r="AL256" s="150"/>
      <c r="AM256" s="150"/>
      <c r="AN256" s="150"/>
      <c r="AO256" s="150"/>
      <c r="AP256" s="150"/>
      <c r="AQ256" s="150"/>
      <c r="AR256" s="150"/>
      <c r="AS256" s="150"/>
      <c r="AT256" s="150"/>
      <c r="AU256" s="150"/>
      <c r="AV256" s="150"/>
      <c r="AW256" s="150"/>
      <c r="AX256" s="150"/>
      <c r="AY256" s="151"/>
      <c r="AZ256" s="151"/>
      <c r="BA256" s="151"/>
      <c r="BB256" s="151"/>
      <c r="BC256" s="151"/>
      <c r="BD256" s="151"/>
      <c r="BE256" s="151"/>
      <c r="BF256" s="151"/>
      <c r="BG256" s="151"/>
      <c r="BH256" s="151"/>
      <c r="BI256" s="151"/>
      <c r="BJ256" s="151"/>
      <c r="BK256" s="151"/>
      <c r="BL256" s="151"/>
      <c r="BM256" s="151"/>
      <c r="BN256" s="151"/>
      <c r="BO256" s="151"/>
      <c r="BP256" s="151"/>
      <c r="BQ256" s="151"/>
      <c r="BR256" s="151"/>
    </row>
    <row r="257" s="75" customFormat="true" ht="15" hidden="false" customHeight="false" outlineLevel="0" collapsed="false">
      <c r="A257" s="141"/>
      <c r="B257" s="142"/>
      <c r="C257" s="143"/>
      <c r="D257" s="144"/>
      <c r="E257" s="144"/>
      <c r="F257" s="144"/>
      <c r="G257" s="145"/>
      <c r="H257" s="146"/>
      <c r="I257" s="147"/>
      <c r="J257" s="148"/>
      <c r="K257" s="149"/>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50"/>
      <c r="AM257" s="150"/>
      <c r="AN257" s="150"/>
      <c r="AO257" s="150"/>
      <c r="AP257" s="150"/>
      <c r="AQ257" s="150"/>
      <c r="AR257" s="150"/>
      <c r="AS257" s="150"/>
      <c r="AT257" s="150"/>
      <c r="AU257" s="150"/>
      <c r="AV257" s="150"/>
      <c r="AW257" s="150"/>
      <c r="AX257" s="150"/>
      <c r="AY257" s="151"/>
      <c r="AZ257" s="151"/>
      <c r="BA257" s="151"/>
      <c r="BB257" s="151"/>
      <c r="BC257" s="151"/>
      <c r="BD257" s="151"/>
      <c r="BE257" s="151"/>
      <c r="BF257" s="151"/>
      <c r="BG257" s="151"/>
      <c r="BH257" s="151"/>
      <c r="BI257" s="151"/>
      <c r="BJ257" s="151"/>
      <c r="BK257" s="151"/>
      <c r="BL257" s="151"/>
      <c r="BM257" s="151"/>
      <c r="BN257" s="151"/>
      <c r="BO257" s="151"/>
      <c r="BP257" s="151"/>
      <c r="BQ257" s="151"/>
      <c r="BR257" s="151"/>
    </row>
    <row r="258" s="140" customFormat="true" ht="15" hidden="false" customHeight="false" outlineLevel="0" collapsed="false">
      <c r="A258" s="129" t="s">
        <v>854</v>
      </c>
      <c r="B258" s="130" t="s">
        <v>1090</v>
      </c>
      <c r="C258" s="131" t="s">
        <v>855</v>
      </c>
      <c r="D258" s="132"/>
      <c r="E258" s="132"/>
      <c r="F258" s="132"/>
      <c r="G258" s="133"/>
      <c r="H258" s="134" t="s">
        <v>853</v>
      </c>
      <c r="I258" s="135" t="s">
        <v>88</v>
      </c>
      <c r="J258" s="136" t="s">
        <v>853</v>
      </c>
      <c r="K258" s="137" t="s">
        <v>88</v>
      </c>
      <c r="L258" s="138" t="s">
        <v>1167</v>
      </c>
      <c r="M258" s="138" t="s">
        <v>1430</v>
      </c>
      <c r="N258" s="138" t="s">
        <v>1169</v>
      </c>
      <c r="O258" s="138" t="s">
        <v>1170</v>
      </c>
      <c r="P258" s="138"/>
      <c r="Q258" s="138"/>
      <c r="R258" s="138"/>
      <c r="S258" s="138"/>
      <c r="T258" s="138"/>
      <c r="U258" s="138"/>
      <c r="V258" s="138"/>
      <c r="W258" s="138"/>
      <c r="X258" s="138"/>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138"/>
      <c r="AT258" s="138"/>
      <c r="AU258" s="138"/>
      <c r="AV258" s="138"/>
      <c r="AW258" s="138"/>
      <c r="AX258" s="138"/>
      <c r="AY258" s="139"/>
      <c r="AZ258" s="139"/>
      <c r="BA258" s="139"/>
      <c r="BB258" s="139"/>
      <c r="BC258" s="139"/>
      <c r="BD258" s="139"/>
      <c r="BE258" s="139"/>
      <c r="BF258" s="139"/>
      <c r="BG258" s="139"/>
      <c r="BH258" s="139"/>
      <c r="BI258" s="139"/>
      <c r="BJ258" s="139"/>
      <c r="BK258" s="139"/>
      <c r="BL258" s="139"/>
      <c r="BM258" s="139"/>
      <c r="BN258" s="139"/>
      <c r="BO258" s="139"/>
      <c r="BP258" s="139"/>
      <c r="BQ258" s="139"/>
      <c r="BR258" s="139"/>
    </row>
    <row r="259" s="75" customFormat="true" ht="15" hidden="false" customHeight="false" outlineLevel="0" collapsed="false">
      <c r="A259" s="141"/>
      <c r="B259" s="142"/>
      <c r="C259" s="143"/>
      <c r="D259" s="144"/>
      <c r="E259" s="144"/>
      <c r="F259" s="144"/>
      <c r="G259" s="145"/>
      <c r="H259" s="146"/>
      <c r="I259" s="147"/>
      <c r="J259" s="148"/>
      <c r="K259" s="149"/>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50"/>
      <c r="AM259" s="150"/>
      <c r="AN259" s="150"/>
      <c r="AO259" s="150"/>
      <c r="AP259" s="150"/>
      <c r="AQ259" s="150"/>
      <c r="AR259" s="150"/>
      <c r="AS259" s="150"/>
      <c r="AT259" s="150"/>
      <c r="AU259" s="150"/>
      <c r="AV259" s="150"/>
      <c r="AW259" s="150"/>
      <c r="AX259" s="150"/>
      <c r="AY259" s="151"/>
      <c r="AZ259" s="151"/>
      <c r="BA259" s="151"/>
      <c r="BB259" s="151"/>
      <c r="BC259" s="151"/>
      <c r="BD259" s="151"/>
      <c r="BE259" s="151"/>
      <c r="BF259" s="151"/>
      <c r="BG259" s="151"/>
      <c r="BH259" s="151"/>
      <c r="BI259" s="151"/>
      <c r="BJ259" s="151"/>
      <c r="BK259" s="151"/>
      <c r="BL259" s="151"/>
      <c r="BM259" s="151"/>
      <c r="BN259" s="151"/>
      <c r="BO259" s="151"/>
      <c r="BP259" s="151"/>
      <c r="BQ259" s="151"/>
      <c r="BR259" s="151"/>
    </row>
    <row r="260" s="75" customFormat="true" ht="30" hidden="false" customHeight="false" outlineLevel="0" collapsed="false">
      <c r="A260" s="141" t="s">
        <v>856</v>
      </c>
      <c r="B260" s="142" t="s">
        <v>1090</v>
      </c>
      <c r="C260" s="143" t="s">
        <v>1431</v>
      </c>
      <c r="D260" s="144" t="s">
        <v>1086</v>
      </c>
      <c r="E260" s="144" t="s">
        <v>1086</v>
      </c>
      <c r="F260" s="144" t="s">
        <v>1087</v>
      </c>
      <c r="G260" s="145" t="s">
        <v>1087</v>
      </c>
      <c r="H260" s="146" t="s">
        <v>81</v>
      </c>
      <c r="I260" s="147" t="s">
        <v>88</v>
      </c>
      <c r="J260" s="148" t="s">
        <v>81</v>
      </c>
      <c r="K260" s="149" t="s">
        <v>88</v>
      </c>
      <c r="L260" s="150" t="s">
        <v>1432</v>
      </c>
      <c r="M260" s="150" t="s">
        <v>1433</v>
      </c>
      <c r="N260" s="150" t="s">
        <v>1434</v>
      </c>
      <c r="O260" s="150" t="s">
        <v>1435</v>
      </c>
      <c r="P260" s="150" t="s">
        <v>1436</v>
      </c>
      <c r="Q260" s="150" t="s">
        <v>1437</v>
      </c>
      <c r="R260" s="150" t="s">
        <v>1438</v>
      </c>
      <c r="S260" s="150" t="s">
        <v>1439</v>
      </c>
      <c r="T260" s="150" t="s">
        <v>1440</v>
      </c>
      <c r="U260" s="150" t="s">
        <v>1441</v>
      </c>
      <c r="V260" s="150"/>
      <c r="W260" s="150"/>
      <c r="X260" s="150"/>
      <c r="Y260" s="150"/>
      <c r="Z260" s="150"/>
      <c r="AA260" s="150"/>
      <c r="AB260" s="150"/>
      <c r="AC260" s="150"/>
      <c r="AD260" s="150"/>
      <c r="AE260" s="150"/>
      <c r="AF260" s="150"/>
      <c r="AG260" s="150"/>
      <c r="AH260" s="150"/>
      <c r="AI260" s="150"/>
      <c r="AJ260" s="150"/>
      <c r="AK260" s="150"/>
      <c r="AL260" s="150"/>
      <c r="AM260" s="150"/>
      <c r="AN260" s="150"/>
      <c r="AO260" s="150"/>
      <c r="AP260" s="150"/>
      <c r="AQ260" s="150"/>
      <c r="AR260" s="150"/>
      <c r="AS260" s="150"/>
      <c r="AT260" s="150"/>
      <c r="AU260" s="150"/>
      <c r="AV260" s="150"/>
      <c r="AW260" s="150"/>
      <c r="AX260" s="150"/>
      <c r="AY260" s="151"/>
      <c r="AZ260" s="151"/>
      <c r="BA260" s="151"/>
      <c r="BB260" s="151"/>
      <c r="BC260" s="151"/>
      <c r="BD260" s="151"/>
      <c r="BE260" s="151"/>
      <c r="BF260" s="151"/>
      <c r="BG260" s="151"/>
      <c r="BH260" s="151"/>
      <c r="BI260" s="151"/>
      <c r="BJ260" s="151"/>
      <c r="BK260" s="151"/>
      <c r="BL260" s="151"/>
      <c r="BM260" s="151"/>
      <c r="BN260" s="151"/>
      <c r="BO260" s="151"/>
      <c r="BP260" s="151"/>
      <c r="BQ260" s="151"/>
      <c r="BR260" s="151"/>
    </row>
    <row r="261" s="75" customFormat="true" ht="30" hidden="false" customHeight="false" outlineLevel="0" collapsed="false">
      <c r="A261" s="141" t="s">
        <v>860</v>
      </c>
      <c r="B261" s="142" t="s">
        <v>1090</v>
      </c>
      <c r="C261" s="143" t="s">
        <v>1442</v>
      </c>
      <c r="D261" s="144" t="s">
        <v>1086</v>
      </c>
      <c r="E261" s="144" t="s">
        <v>1086</v>
      </c>
      <c r="F261" s="144" t="s">
        <v>1089</v>
      </c>
      <c r="G261" s="145" t="s">
        <v>1089</v>
      </c>
      <c r="H261" s="146" t="s">
        <v>81</v>
      </c>
      <c r="I261" s="147" t="s">
        <v>88</v>
      </c>
      <c r="J261" s="148" t="s">
        <v>81</v>
      </c>
      <c r="K261" s="149" t="s">
        <v>88</v>
      </c>
      <c r="L261" s="150" t="s">
        <v>1432</v>
      </c>
      <c r="M261" s="150" t="s">
        <v>1433</v>
      </c>
      <c r="N261" s="150" t="s">
        <v>1434</v>
      </c>
      <c r="O261" s="150" t="s">
        <v>1435</v>
      </c>
      <c r="P261" s="150" t="s">
        <v>1436</v>
      </c>
      <c r="Q261" s="150" t="s">
        <v>1437</v>
      </c>
      <c r="R261" s="150" t="s">
        <v>1438</v>
      </c>
      <c r="S261" s="150" t="s">
        <v>1439</v>
      </c>
      <c r="T261" s="150" t="s">
        <v>1440</v>
      </c>
      <c r="U261" s="150" t="s">
        <v>1441</v>
      </c>
      <c r="V261" s="150"/>
      <c r="W261" s="150"/>
      <c r="X261" s="150"/>
      <c r="Y261" s="150"/>
      <c r="Z261" s="150"/>
      <c r="AA261" s="150"/>
      <c r="AB261" s="150"/>
      <c r="AC261" s="150"/>
      <c r="AD261" s="150"/>
      <c r="AE261" s="150"/>
      <c r="AF261" s="150"/>
      <c r="AG261" s="150"/>
      <c r="AH261" s="150"/>
      <c r="AI261" s="150"/>
      <c r="AJ261" s="150"/>
      <c r="AK261" s="150"/>
      <c r="AL261" s="150"/>
      <c r="AM261" s="150"/>
      <c r="AN261" s="150"/>
      <c r="AO261" s="150"/>
      <c r="AP261" s="150"/>
      <c r="AQ261" s="150"/>
      <c r="AR261" s="150"/>
      <c r="AS261" s="150"/>
      <c r="AT261" s="150"/>
      <c r="AU261" s="150"/>
      <c r="AV261" s="150"/>
      <c r="AW261" s="150"/>
      <c r="AX261" s="150"/>
      <c r="AY261" s="151"/>
      <c r="AZ261" s="151"/>
      <c r="BA261" s="151"/>
      <c r="BB261" s="151"/>
      <c r="BC261" s="151"/>
      <c r="BD261" s="151"/>
      <c r="BE261" s="151"/>
      <c r="BF261" s="151"/>
      <c r="BG261" s="151"/>
      <c r="BH261" s="151"/>
      <c r="BI261" s="151"/>
      <c r="BJ261" s="151"/>
      <c r="BK261" s="151"/>
      <c r="BL261" s="151"/>
      <c r="BM261" s="151"/>
      <c r="BN261" s="151"/>
      <c r="BO261" s="151"/>
      <c r="BP261" s="151"/>
      <c r="BQ261" s="151"/>
      <c r="BR261" s="151"/>
    </row>
    <row r="262" s="75" customFormat="true" ht="15" hidden="false" customHeight="false" outlineLevel="0" collapsed="false">
      <c r="A262" s="141"/>
      <c r="B262" s="142"/>
      <c r="C262" s="143"/>
      <c r="D262" s="144"/>
      <c r="E262" s="144"/>
      <c r="F262" s="144"/>
      <c r="G262" s="145"/>
      <c r="H262" s="146"/>
      <c r="I262" s="147"/>
      <c r="J262" s="148"/>
      <c r="K262" s="149"/>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50"/>
      <c r="AM262" s="150"/>
      <c r="AN262" s="150"/>
      <c r="AO262" s="150"/>
      <c r="AP262" s="150"/>
      <c r="AQ262" s="150"/>
      <c r="AR262" s="150"/>
      <c r="AS262" s="150"/>
      <c r="AT262" s="150"/>
      <c r="AU262" s="150"/>
      <c r="AV262" s="150"/>
      <c r="AW262" s="150"/>
      <c r="AX262" s="150"/>
      <c r="AY262" s="151"/>
      <c r="AZ262" s="151"/>
      <c r="BA262" s="151"/>
      <c r="BB262" s="151"/>
      <c r="BC262" s="151"/>
      <c r="BD262" s="151"/>
      <c r="BE262" s="151"/>
      <c r="BF262" s="151"/>
      <c r="BG262" s="151"/>
      <c r="BH262" s="151"/>
      <c r="BI262" s="151"/>
      <c r="BJ262" s="151"/>
      <c r="BK262" s="151"/>
      <c r="BL262" s="151"/>
      <c r="BM262" s="151"/>
      <c r="BN262" s="151"/>
      <c r="BO262" s="151"/>
      <c r="BP262" s="151"/>
      <c r="BQ262" s="151"/>
      <c r="BR262" s="151"/>
    </row>
    <row r="263" s="75" customFormat="true" ht="30" hidden="false" customHeight="false" outlineLevel="0" collapsed="false">
      <c r="A263" s="141" t="s">
        <v>864</v>
      </c>
      <c r="B263" s="142" t="s">
        <v>1152</v>
      </c>
      <c r="C263" s="143" t="s">
        <v>1443</v>
      </c>
      <c r="D263" s="144" t="s">
        <v>1153</v>
      </c>
      <c r="E263" s="144" t="s">
        <v>1086</v>
      </c>
      <c r="F263" s="144" t="s">
        <v>1087</v>
      </c>
      <c r="G263" s="145" t="s">
        <v>1087</v>
      </c>
      <c r="H263" s="146" t="s">
        <v>81</v>
      </c>
      <c r="I263" s="147" t="s">
        <v>82</v>
      </c>
      <c r="J263" s="148" t="s">
        <v>81</v>
      </c>
      <c r="K263" s="149" t="s">
        <v>82</v>
      </c>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50"/>
      <c r="AM263" s="150"/>
      <c r="AN263" s="150"/>
      <c r="AO263" s="150"/>
      <c r="AP263" s="150"/>
      <c r="AQ263" s="150"/>
      <c r="AR263" s="150"/>
      <c r="AS263" s="150"/>
      <c r="AT263" s="150"/>
      <c r="AU263" s="150"/>
      <c r="AV263" s="150"/>
      <c r="AW263" s="150"/>
      <c r="AX263" s="150"/>
      <c r="AY263" s="151"/>
      <c r="AZ263" s="151"/>
      <c r="BA263" s="151"/>
      <c r="BB263" s="151"/>
      <c r="BC263" s="151"/>
      <c r="BD263" s="151"/>
      <c r="BE263" s="151"/>
      <c r="BF263" s="151"/>
      <c r="BG263" s="151"/>
      <c r="BH263" s="151"/>
      <c r="BI263" s="151"/>
      <c r="BJ263" s="151"/>
      <c r="BK263" s="151"/>
      <c r="BL263" s="151"/>
      <c r="BM263" s="151"/>
      <c r="BN263" s="151"/>
      <c r="BO263" s="151"/>
      <c r="BP263" s="151"/>
      <c r="BQ263" s="151"/>
      <c r="BR263" s="151"/>
    </row>
    <row r="264" s="75" customFormat="true" ht="30" hidden="false" customHeight="false" outlineLevel="0" collapsed="false">
      <c r="A264" s="141" t="s">
        <v>868</v>
      </c>
      <c r="B264" s="142" t="s">
        <v>1152</v>
      </c>
      <c r="C264" s="143" t="s">
        <v>1444</v>
      </c>
      <c r="D264" s="144" t="s">
        <v>1153</v>
      </c>
      <c r="E264" s="144" t="s">
        <v>1086</v>
      </c>
      <c r="F264" s="144" t="s">
        <v>1089</v>
      </c>
      <c r="G264" s="145" t="s">
        <v>1089</v>
      </c>
      <c r="H264" s="146" t="s">
        <v>81</v>
      </c>
      <c r="I264" s="147" t="s">
        <v>82</v>
      </c>
      <c r="J264" s="148" t="s">
        <v>81</v>
      </c>
      <c r="K264" s="149" t="s">
        <v>82</v>
      </c>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50"/>
      <c r="AM264" s="150"/>
      <c r="AN264" s="150"/>
      <c r="AO264" s="150"/>
      <c r="AP264" s="150"/>
      <c r="AQ264" s="150"/>
      <c r="AR264" s="150"/>
      <c r="AS264" s="150"/>
      <c r="AT264" s="150"/>
      <c r="AU264" s="150"/>
      <c r="AV264" s="150"/>
      <c r="AW264" s="150"/>
      <c r="AX264" s="150"/>
      <c r="AY264" s="151"/>
      <c r="AZ264" s="151"/>
      <c r="BA264" s="151"/>
      <c r="BB264" s="151"/>
      <c r="BC264" s="151"/>
      <c r="BD264" s="151"/>
      <c r="BE264" s="151"/>
      <c r="BF264" s="151"/>
      <c r="BG264" s="151"/>
      <c r="BH264" s="151"/>
      <c r="BI264" s="151"/>
      <c r="BJ264" s="151"/>
      <c r="BK264" s="151"/>
      <c r="BL264" s="151"/>
      <c r="BM264" s="151"/>
      <c r="BN264" s="151"/>
      <c r="BO264" s="151"/>
      <c r="BP264" s="151"/>
      <c r="BQ264" s="151"/>
      <c r="BR264" s="151"/>
    </row>
    <row r="265" s="75" customFormat="true" ht="30" hidden="false" customHeight="false" outlineLevel="0" collapsed="false">
      <c r="A265" s="141" t="s">
        <v>880</v>
      </c>
      <c r="B265" s="142" t="s">
        <v>1152</v>
      </c>
      <c r="C265" s="143" t="s">
        <v>1445</v>
      </c>
      <c r="D265" s="144" t="s">
        <v>1153</v>
      </c>
      <c r="E265" s="144" t="s">
        <v>1086</v>
      </c>
      <c r="F265" s="144" t="s">
        <v>1089</v>
      </c>
      <c r="G265" s="145" t="s">
        <v>1089</v>
      </c>
      <c r="H265" s="146" t="s">
        <v>81</v>
      </c>
      <c r="I265" s="147" t="s">
        <v>82</v>
      </c>
      <c r="J265" s="148" t="s">
        <v>81</v>
      </c>
      <c r="K265" s="149" t="s">
        <v>82</v>
      </c>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50"/>
      <c r="AM265" s="150"/>
      <c r="AN265" s="150"/>
      <c r="AO265" s="150"/>
      <c r="AP265" s="150"/>
      <c r="AQ265" s="150"/>
      <c r="AR265" s="150"/>
      <c r="AS265" s="150"/>
      <c r="AT265" s="150"/>
      <c r="AU265" s="150"/>
      <c r="AV265" s="150"/>
      <c r="AW265" s="150"/>
      <c r="AX265" s="150"/>
      <c r="AY265" s="151"/>
      <c r="AZ265" s="151"/>
      <c r="BA265" s="151"/>
      <c r="BB265" s="151"/>
      <c r="BC265" s="151"/>
      <c r="BD265" s="151"/>
      <c r="BE265" s="151"/>
      <c r="BF265" s="151"/>
      <c r="BG265" s="151"/>
      <c r="BH265" s="151"/>
      <c r="BI265" s="151"/>
      <c r="BJ265" s="151"/>
      <c r="BK265" s="151"/>
      <c r="BL265" s="151"/>
      <c r="BM265" s="151"/>
      <c r="BN265" s="151"/>
      <c r="BO265" s="151"/>
      <c r="BP265" s="151"/>
      <c r="BQ265" s="151"/>
      <c r="BR265" s="151"/>
    </row>
    <row r="266" s="75" customFormat="true" ht="15" hidden="false" customHeight="false" outlineLevel="0" collapsed="false">
      <c r="A266" s="141"/>
      <c r="B266" s="142"/>
      <c r="C266" s="143"/>
      <c r="D266" s="144"/>
      <c r="E266" s="144"/>
      <c r="F266" s="144"/>
      <c r="G266" s="145"/>
      <c r="H266" s="146"/>
      <c r="I266" s="147"/>
      <c r="J266" s="148"/>
      <c r="K266" s="149"/>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50"/>
      <c r="AM266" s="150"/>
      <c r="AN266" s="150"/>
      <c r="AO266" s="150"/>
      <c r="AP266" s="150"/>
      <c r="AQ266" s="150"/>
      <c r="AR266" s="150"/>
      <c r="AS266" s="150"/>
      <c r="AT266" s="150"/>
      <c r="AU266" s="150"/>
      <c r="AV266" s="150"/>
      <c r="AW266" s="150"/>
      <c r="AX266" s="150"/>
      <c r="AY266" s="151"/>
      <c r="AZ266" s="151"/>
      <c r="BA266" s="151"/>
      <c r="BB266" s="151"/>
      <c r="BC266" s="151"/>
      <c r="BD266" s="151"/>
      <c r="BE266" s="151"/>
      <c r="BF266" s="151"/>
      <c r="BG266" s="151"/>
      <c r="BH266" s="151"/>
      <c r="BI266" s="151"/>
      <c r="BJ266" s="151"/>
      <c r="BK266" s="151"/>
      <c r="BL266" s="151"/>
      <c r="BM266" s="151"/>
      <c r="BN266" s="151"/>
      <c r="BO266" s="151"/>
      <c r="BP266" s="151"/>
      <c r="BQ266" s="151"/>
      <c r="BR266" s="151"/>
    </row>
    <row r="267" s="75" customFormat="true" ht="30" hidden="false" customHeight="false" outlineLevel="0" collapsed="false">
      <c r="A267" s="141" t="s">
        <v>896</v>
      </c>
      <c r="B267" s="142" t="s">
        <v>1090</v>
      </c>
      <c r="C267" s="143" t="s">
        <v>1446</v>
      </c>
      <c r="D267" s="144" t="s">
        <v>1086</v>
      </c>
      <c r="E267" s="144" t="s">
        <v>1086</v>
      </c>
      <c r="F267" s="144" t="s">
        <v>1087</v>
      </c>
      <c r="G267" s="145" t="s">
        <v>1087</v>
      </c>
      <c r="H267" s="146" t="s">
        <v>81</v>
      </c>
      <c r="I267" s="147" t="s">
        <v>88</v>
      </c>
      <c r="J267" s="148" t="s">
        <v>81</v>
      </c>
      <c r="K267" s="149" t="s">
        <v>88</v>
      </c>
      <c r="L267" s="150" t="s">
        <v>1447</v>
      </c>
      <c r="M267" s="150" t="s">
        <v>1448</v>
      </c>
      <c r="N267" s="150" t="s">
        <v>1449</v>
      </c>
      <c r="O267" s="150" t="s">
        <v>1450</v>
      </c>
      <c r="P267" s="150" t="s">
        <v>1451</v>
      </c>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50"/>
      <c r="AM267" s="150"/>
      <c r="AN267" s="150"/>
      <c r="AO267" s="150"/>
      <c r="AP267" s="150"/>
      <c r="AQ267" s="150"/>
      <c r="AR267" s="150"/>
      <c r="AS267" s="150"/>
      <c r="AT267" s="150"/>
      <c r="AU267" s="150"/>
      <c r="AV267" s="150"/>
      <c r="AW267" s="150"/>
      <c r="AX267" s="150"/>
      <c r="AY267" s="151"/>
      <c r="AZ267" s="151"/>
      <c r="BA267" s="151"/>
      <c r="BB267" s="151"/>
      <c r="BC267" s="151"/>
      <c r="BD267" s="151"/>
      <c r="BE267" s="151"/>
      <c r="BF267" s="151"/>
      <c r="BG267" s="151"/>
      <c r="BH267" s="151"/>
      <c r="BI267" s="151"/>
      <c r="BJ267" s="151"/>
      <c r="BK267" s="151"/>
      <c r="BL267" s="151"/>
      <c r="BM267" s="151"/>
      <c r="BN267" s="151"/>
      <c r="BO267" s="151"/>
      <c r="BP267" s="151"/>
      <c r="BQ267" s="151"/>
      <c r="BR267" s="151"/>
    </row>
    <row r="268" s="75" customFormat="true" ht="30" hidden="false" customHeight="false" outlineLevel="0" collapsed="false">
      <c r="A268" s="141" t="s">
        <v>900</v>
      </c>
      <c r="B268" s="142" t="s">
        <v>1090</v>
      </c>
      <c r="C268" s="143" t="s">
        <v>1452</v>
      </c>
      <c r="D268" s="144" t="s">
        <v>1086</v>
      </c>
      <c r="E268" s="144" t="s">
        <v>1086</v>
      </c>
      <c r="F268" s="144" t="s">
        <v>1089</v>
      </c>
      <c r="G268" s="145" t="s">
        <v>1089</v>
      </c>
      <c r="H268" s="146" t="s">
        <v>81</v>
      </c>
      <c r="I268" s="147" t="s">
        <v>88</v>
      </c>
      <c r="J268" s="148" t="s">
        <v>81</v>
      </c>
      <c r="K268" s="149" t="s">
        <v>88</v>
      </c>
      <c r="L268" s="150" t="s">
        <v>1447</v>
      </c>
      <c r="M268" s="150" t="s">
        <v>1448</v>
      </c>
      <c r="N268" s="150" t="s">
        <v>1449</v>
      </c>
      <c r="O268" s="150" t="s">
        <v>1450</v>
      </c>
      <c r="P268" s="150" t="s">
        <v>1451</v>
      </c>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50"/>
      <c r="AM268" s="150"/>
      <c r="AN268" s="150"/>
      <c r="AO268" s="150"/>
      <c r="AP268" s="150"/>
      <c r="AQ268" s="150"/>
      <c r="AR268" s="150"/>
      <c r="AS268" s="150"/>
      <c r="AT268" s="150"/>
      <c r="AU268" s="150"/>
      <c r="AV268" s="150"/>
      <c r="AW268" s="150"/>
      <c r="AX268" s="150"/>
      <c r="AY268" s="151"/>
      <c r="AZ268" s="151"/>
      <c r="BA268" s="151"/>
      <c r="BB268" s="151"/>
      <c r="BC268" s="151"/>
      <c r="BD268" s="151"/>
      <c r="BE268" s="151"/>
      <c r="BF268" s="151"/>
      <c r="BG268" s="151"/>
      <c r="BH268" s="151"/>
      <c r="BI268" s="151"/>
      <c r="BJ268" s="151"/>
      <c r="BK268" s="151"/>
      <c r="BL268" s="151"/>
      <c r="BM268" s="151"/>
      <c r="BN268" s="151"/>
      <c r="BO268" s="151"/>
      <c r="BP268" s="151"/>
      <c r="BQ268" s="151"/>
      <c r="BR268" s="151"/>
    </row>
    <row r="269" s="75" customFormat="true" ht="15" hidden="false" customHeight="false" outlineLevel="0" collapsed="false">
      <c r="A269" s="141"/>
      <c r="B269" s="142"/>
      <c r="C269" s="143"/>
      <c r="D269" s="144"/>
      <c r="E269" s="144"/>
      <c r="F269" s="144"/>
      <c r="G269" s="145"/>
      <c r="H269" s="146"/>
      <c r="I269" s="147"/>
      <c r="J269" s="148"/>
      <c r="K269" s="149"/>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50"/>
      <c r="AM269" s="150"/>
      <c r="AN269" s="150"/>
      <c r="AO269" s="150"/>
      <c r="AP269" s="150"/>
      <c r="AQ269" s="150"/>
      <c r="AR269" s="150"/>
      <c r="AS269" s="150"/>
      <c r="AT269" s="150"/>
      <c r="AU269" s="150"/>
      <c r="AV269" s="150"/>
      <c r="AW269" s="150"/>
      <c r="AX269" s="150"/>
      <c r="AY269" s="151"/>
      <c r="AZ269" s="151"/>
      <c r="BA269" s="151"/>
      <c r="BB269" s="151"/>
      <c r="BC269" s="151"/>
      <c r="BD269" s="151"/>
      <c r="BE269" s="151"/>
      <c r="BF269" s="151"/>
      <c r="BG269" s="151"/>
      <c r="BH269" s="151"/>
      <c r="BI269" s="151"/>
      <c r="BJ269" s="151"/>
      <c r="BK269" s="151"/>
      <c r="BL269" s="151"/>
      <c r="BM269" s="151"/>
      <c r="BN269" s="151"/>
      <c r="BO269" s="151"/>
      <c r="BP269" s="151"/>
      <c r="BQ269" s="151"/>
      <c r="BR269" s="151"/>
    </row>
    <row r="270" s="75" customFormat="true" ht="30" hidden="false" customHeight="false" outlineLevel="0" collapsed="false">
      <c r="A270" s="141" t="s">
        <v>904</v>
      </c>
      <c r="B270" s="142" t="s">
        <v>1090</v>
      </c>
      <c r="C270" s="143" t="s">
        <v>1453</v>
      </c>
      <c r="D270" s="144"/>
      <c r="E270" s="144"/>
      <c r="F270" s="144"/>
      <c r="G270" s="145"/>
      <c r="H270" s="146" t="s">
        <v>81</v>
      </c>
      <c r="I270" s="147" t="s">
        <v>88</v>
      </c>
      <c r="J270" s="148" t="s">
        <v>81</v>
      </c>
      <c r="K270" s="149" t="s">
        <v>88</v>
      </c>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50"/>
      <c r="AM270" s="150"/>
      <c r="AN270" s="150"/>
      <c r="AO270" s="150"/>
      <c r="AP270" s="150"/>
      <c r="AQ270" s="150"/>
      <c r="AR270" s="150"/>
      <c r="AS270" s="150"/>
      <c r="AT270" s="150"/>
      <c r="AU270" s="150"/>
      <c r="AV270" s="150"/>
      <c r="AW270" s="150"/>
      <c r="AX270" s="150"/>
      <c r="AY270" s="151"/>
      <c r="AZ270" s="151"/>
      <c r="BA270" s="151"/>
      <c r="BB270" s="151"/>
      <c r="BC270" s="151"/>
      <c r="BD270" s="151"/>
      <c r="BE270" s="151"/>
      <c r="BF270" s="151"/>
      <c r="BG270" s="151"/>
      <c r="BH270" s="151"/>
      <c r="BI270" s="151"/>
      <c r="BJ270" s="151"/>
      <c r="BK270" s="151"/>
      <c r="BL270" s="151"/>
      <c r="BM270" s="151"/>
      <c r="BN270" s="151"/>
      <c r="BO270" s="151"/>
      <c r="BP270" s="151"/>
      <c r="BQ270" s="151"/>
      <c r="BR270" s="151"/>
    </row>
    <row r="271" s="75" customFormat="true" ht="15" hidden="false" customHeight="false" outlineLevel="0" collapsed="false">
      <c r="A271" s="141"/>
      <c r="B271" s="142"/>
      <c r="C271" s="143"/>
      <c r="D271" s="144"/>
      <c r="E271" s="144"/>
      <c r="F271" s="144"/>
      <c r="G271" s="145"/>
      <c r="H271" s="146"/>
      <c r="I271" s="147"/>
      <c r="J271" s="148"/>
      <c r="K271" s="149"/>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50"/>
      <c r="AM271" s="150"/>
      <c r="AN271" s="150"/>
      <c r="AO271" s="150"/>
      <c r="AP271" s="150"/>
      <c r="AQ271" s="150"/>
      <c r="AR271" s="150"/>
      <c r="AS271" s="150"/>
      <c r="AT271" s="150"/>
      <c r="AU271" s="150"/>
      <c r="AV271" s="150"/>
      <c r="AW271" s="150"/>
      <c r="AX271" s="150"/>
      <c r="AY271" s="151"/>
      <c r="AZ271" s="151"/>
      <c r="BA271" s="151"/>
      <c r="BB271" s="151"/>
      <c r="BC271" s="151"/>
      <c r="BD271" s="151"/>
      <c r="BE271" s="151"/>
      <c r="BF271" s="151"/>
      <c r="BG271" s="151"/>
      <c r="BH271" s="151"/>
      <c r="BI271" s="151"/>
      <c r="BJ271" s="151"/>
      <c r="BK271" s="151"/>
      <c r="BL271" s="151"/>
      <c r="BM271" s="151"/>
      <c r="BN271" s="151"/>
      <c r="BO271" s="151"/>
      <c r="BP271" s="151"/>
      <c r="BQ271" s="151"/>
      <c r="BR271" s="151"/>
    </row>
    <row r="272" s="140" customFormat="true" ht="15" hidden="false" customHeight="false" outlineLevel="0" collapsed="false">
      <c r="A272" s="129" t="s">
        <v>1454</v>
      </c>
      <c r="B272" s="130" t="s">
        <v>1373</v>
      </c>
      <c r="C272" s="131" t="s">
        <v>1455</v>
      </c>
      <c r="D272" s="132"/>
      <c r="E272" s="132"/>
      <c r="F272" s="132"/>
      <c r="G272" s="133"/>
      <c r="H272" s="134" t="s">
        <v>81</v>
      </c>
      <c r="I272" s="135" t="s">
        <v>1099</v>
      </c>
      <c r="J272" s="136" t="s">
        <v>81</v>
      </c>
      <c r="K272" s="137" t="s">
        <v>1099</v>
      </c>
      <c r="L272" s="138" t="s">
        <v>1456</v>
      </c>
      <c r="M272" s="138" t="s">
        <v>1457</v>
      </c>
      <c r="N272" s="138" t="s">
        <v>1458</v>
      </c>
      <c r="O272" s="138"/>
      <c r="P272" s="138"/>
      <c r="Q272" s="138"/>
      <c r="R272" s="138"/>
      <c r="S272" s="138"/>
      <c r="T272" s="138"/>
      <c r="U272" s="138"/>
      <c r="V272" s="138"/>
      <c r="W272" s="138"/>
      <c r="X272" s="138"/>
      <c r="Y272" s="138"/>
      <c r="Z272" s="138"/>
      <c r="AA272" s="138"/>
      <c r="AB272" s="138"/>
      <c r="AC272" s="138"/>
      <c r="AD272" s="138"/>
      <c r="AE272" s="138"/>
      <c r="AF272" s="138"/>
      <c r="AG272" s="138"/>
      <c r="AH272" s="138"/>
      <c r="AI272" s="138"/>
      <c r="AJ272" s="138"/>
      <c r="AK272" s="138"/>
      <c r="AL272" s="138"/>
      <c r="AM272" s="138"/>
      <c r="AN272" s="138"/>
      <c r="AO272" s="138"/>
      <c r="AP272" s="138"/>
      <c r="AQ272" s="138"/>
      <c r="AR272" s="138"/>
      <c r="AS272" s="138"/>
      <c r="AT272" s="138"/>
      <c r="AU272" s="138"/>
      <c r="AV272" s="138"/>
      <c r="AW272" s="138"/>
      <c r="AX272" s="138"/>
      <c r="AY272" s="139"/>
      <c r="AZ272" s="139"/>
      <c r="BA272" s="139"/>
      <c r="BB272" s="139"/>
      <c r="BC272" s="139"/>
      <c r="BD272" s="139"/>
      <c r="BE272" s="139"/>
      <c r="BF272" s="139"/>
      <c r="BG272" s="139"/>
      <c r="BH272" s="139"/>
      <c r="BI272" s="139"/>
      <c r="BJ272" s="139"/>
      <c r="BK272" s="139"/>
      <c r="BL272" s="139"/>
      <c r="BM272" s="139"/>
      <c r="BN272" s="139"/>
      <c r="BO272" s="139"/>
      <c r="BP272" s="139"/>
      <c r="BQ272" s="139"/>
      <c r="BR272" s="139"/>
    </row>
    <row r="273" s="75" customFormat="true" ht="30" hidden="false" customHeight="false" outlineLevel="0" collapsed="false">
      <c r="A273" s="141" t="s">
        <v>906</v>
      </c>
      <c r="B273" s="142" t="s">
        <v>1373</v>
      </c>
      <c r="C273" s="143" t="s">
        <v>1459</v>
      </c>
      <c r="D273" s="144"/>
      <c r="E273" s="144"/>
      <c r="F273" s="144"/>
      <c r="G273" s="145"/>
      <c r="H273" s="146" t="s">
        <v>81</v>
      </c>
      <c r="I273" s="147" t="s">
        <v>1099</v>
      </c>
      <c r="J273" s="148" t="s">
        <v>81</v>
      </c>
      <c r="K273" s="149" t="s">
        <v>1099</v>
      </c>
      <c r="L273" s="150" t="s">
        <v>1460</v>
      </c>
      <c r="M273" s="150" t="s">
        <v>1456</v>
      </c>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50"/>
      <c r="AM273" s="150"/>
      <c r="AN273" s="150"/>
      <c r="AO273" s="150"/>
      <c r="AP273" s="150"/>
      <c r="AQ273" s="150"/>
      <c r="AR273" s="150"/>
      <c r="AS273" s="150"/>
      <c r="AT273" s="150"/>
      <c r="AU273" s="150"/>
      <c r="AV273" s="150"/>
      <c r="AW273" s="150"/>
      <c r="AX273" s="150"/>
      <c r="AY273" s="151"/>
      <c r="AZ273" s="151"/>
      <c r="BA273" s="151"/>
      <c r="BB273" s="151"/>
      <c r="BC273" s="151"/>
      <c r="BD273" s="151"/>
      <c r="BE273" s="151"/>
      <c r="BF273" s="151"/>
      <c r="BG273" s="151"/>
      <c r="BH273" s="151"/>
      <c r="BI273" s="151"/>
      <c r="BJ273" s="151"/>
      <c r="BK273" s="151"/>
      <c r="BL273" s="151"/>
      <c r="BM273" s="151"/>
      <c r="BN273" s="151"/>
      <c r="BO273" s="151"/>
      <c r="BP273" s="151"/>
      <c r="BQ273" s="151"/>
      <c r="BR273" s="151"/>
    </row>
    <row r="274" s="75" customFormat="true" ht="30" hidden="false" customHeight="false" outlineLevel="0" collapsed="false">
      <c r="A274" s="141" t="s">
        <v>909</v>
      </c>
      <c r="B274" s="142" t="s">
        <v>1373</v>
      </c>
      <c r="C274" s="143" t="s">
        <v>1461</v>
      </c>
      <c r="D274" s="144"/>
      <c r="E274" s="144"/>
      <c r="F274" s="144"/>
      <c r="G274" s="145"/>
      <c r="H274" s="146" t="s">
        <v>81</v>
      </c>
      <c r="I274" s="147" t="s">
        <v>1099</v>
      </c>
      <c r="J274" s="148" t="s">
        <v>81</v>
      </c>
      <c r="K274" s="149" t="s">
        <v>1099</v>
      </c>
      <c r="L274" s="150" t="s">
        <v>1460</v>
      </c>
      <c r="M274" s="150" t="s">
        <v>1456</v>
      </c>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50"/>
      <c r="AM274" s="150"/>
      <c r="AN274" s="150"/>
      <c r="AO274" s="150"/>
      <c r="AP274" s="150"/>
      <c r="AQ274" s="150"/>
      <c r="AR274" s="150"/>
      <c r="AS274" s="150"/>
      <c r="AT274" s="150"/>
      <c r="AU274" s="150"/>
      <c r="AV274" s="150"/>
      <c r="AW274" s="150"/>
      <c r="AX274" s="150"/>
      <c r="AY274" s="151"/>
      <c r="AZ274" s="151"/>
      <c r="BA274" s="151"/>
      <c r="BB274" s="151"/>
      <c r="BC274" s="151"/>
      <c r="BD274" s="151"/>
      <c r="BE274" s="151"/>
      <c r="BF274" s="151"/>
      <c r="BG274" s="151"/>
      <c r="BH274" s="151"/>
      <c r="BI274" s="151"/>
      <c r="BJ274" s="151"/>
      <c r="BK274" s="151"/>
      <c r="BL274" s="151"/>
      <c r="BM274" s="151"/>
      <c r="BN274" s="151"/>
      <c r="BO274" s="151"/>
      <c r="BP274" s="151"/>
      <c r="BQ274" s="151"/>
      <c r="BR274" s="151"/>
    </row>
    <row r="275" s="75" customFormat="true" ht="15" hidden="false" customHeight="false" outlineLevel="0" collapsed="false">
      <c r="A275" s="141"/>
      <c r="B275" s="142"/>
      <c r="C275" s="143"/>
      <c r="D275" s="144"/>
      <c r="E275" s="144"/>
      <c r="F275" s="144"/>
      <c r="G275" s="145"/>
      <c r="H275" s="146"/>
      <c r="I275" s="147"/>
      <c r="J275" s="148"/>
      <c r="K275" s="149"/>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50"/>
      <c r="AM275" s="150"/>
      <c r="AN275" s="150"/>
      <c r="AO275" s="150"/>
      <c r="AP275" s="150"/>
      <c r="AQ275" s="150"/>
      <c r="AR275" s="150"/>
      <c r="AS275" s="150"/>
      <c r="AT275" s="150"/>
      <c r="AU275" s="150"/>
      <c r="AV275" s="150"/>
      <c r="AW275" s="150"/>
      <c r="AX275" s="150"/>
      <c r="AY275" s="151"/>
      <c r="AZ275" s="151"/>
      <c r="BA275" s="151"/>
      <c r="BB275" s="151"/>
      <c r="BC275" s="151"/>
      <c r="BD275" s="151"/>
      <c r="BE275" s="151"/>
      <c r="BF275" s="151"/>
      <c r="BG275" s="151"/>
      <c r="BH275" s="151"/>
      <c r="BI275" s="151"/>
      <c r="BJ275" s="151"/>
      <c r="BK275" s="151"/>
      <c r="BL275" s="151"/>
      <c r="BM275" s="151"/>
      <c r="BN275" s="151"/>
      <c r="BO275" s="151"/>
      <c r="BP275" s="151"/>
      <c r="BQ275" s="151"/>
      <c r="BR275" s="151"/>
    </row>
    <row r="276" s="140" customFormat="true" ht="15" hidden="false" customHeight="false" outlineLevel="0" collapsed="false">
      <c r="A276" s="129" t="s">
        <v>911</v>
      </c>
      <c r="B276" s="130" t="s">
        <v>1090</v>
      </c>
      <c r="C276" s="131" t="s">
        <v>912</v>
      </c>
      <c r="D276" s="132"/>
      <c r="E276" s="132"/>
      <c r="F276" s="132"/>
      <c r="G276" s="133"/>
      <c r="H276" s="134" t="s">
        <v>1099</v>
      </c>
      <c r="I276" s="135" t="s">
        <v>88</v>
      </c>
      <c r="J276" s="136" t="s">
        <v>81</v>
      </c>
      <c r="K276" s="137" t="s">
        <v>88</v>
      </c>
      <c r="L276" s="138" t="s">
        <v>1462</v>
      </c>
      <c r="M276" s="138" t="s">
        <v>1463</v>
      </c>
      <c r="N276" s="138" t="s">
        <v>1464</v>
      </c>
      <c r="O276" s="138" t="s">
        <v>1465</v>
      </c>
      <c r="P276" s="138" t="s">
        <v>1097</v>
      </c>
      <c r="Q276" s="138"/>
      <c r="R276" s="138"/>
      <c r="S276" s="138"/>
      <c r="T276" s="138"/>
      <c r="U276" s="138"/>
      <c r="V276" s="138"/>
      <c r="W276" s="138"/>
      <c r="X276" s="138"/>
      <c r="Y276" s="138"/>
      <c r="Z276" s="138"/>
      <c r="AA276" s="138"/>
      <c r="AB276" s="138"/>
      <c r="AC276" s="138"/>
      <c r="AD276" s="138"/>
      <c r="AE276" s="138"/>
      <c r="AF276" s="138"/>
      <c r="AG276" s="138"/>
      <c r="AH276" s="138"/>
      <c r="AI276" s="138"/>
      <c r="AJ276" s="138"/>
      <c r="AK276" s="138"/>
      <c r="AL276" s="138"/>
      <c r="AM276" s="138"/>
      <c r="AN276" s="138"/>
      <c r="AO276" s="138"/>
      <c r="AP276" s="138"/>
      <c r="AQ276" s="138"/>
      <c r="AR276" s="138"/>
      <c r="AS276" s="138"/>
      <c r="AT276" s="138"/>
      <c r="AU276" s="138"/>
      <c r="AV276" s="138"/>
      <c r="AW276" s="138"/>
      <c r="AX276" s="138"/>
      <c r="AY276" s="139"/>
      <c r="AZ276" s="139"/>
      <c r="BA276" s="139"/>
      <c r="BB276" s="139"/>
      <c r="BC276" s="139"/>
      <c r="BD276" s="139"/>
      <c r="BE276" s="139"/>
      <c r="BF276" s="139"/>
      <c r="BG276" s="139"/>
      <c r="BH276" s="139"/>
      <c r="BI276" s="139"/>
      <c r="BJ276" s="139"/>
      <c r="BK276" s="139"/>
      <c r="BL276" s="139"/>
      <c r="BM276" s="139"/>
      <c r="BN276" s="139"/>
      <c r="BO276" s="139"/>
      <c r="BP276" s="139"/>
      <c r="BQ276" s="139"/>
      <c r="BR276" s="139"/>
    </row>
    <row r="277" s="75" customFormat="true" ht="30" hidden="false" customHeight="false" outlineLevel="0" collapsed="false">
      <c r="A277" s="141" t="s">
        <v>914</v>
      </c>
      <c r="B277" s="142" t="s">
        <v>1090</v>
      </c>
      <c r="C277" s="143" t="s">
        <v>1466</v>
      </c>
      <c r="D277" s="144"/>
      <c r="E277" s="144"/>
      <c r="F277" s="144"/>
      <c r="G277" s="145"/>
      <c r="H277" s="146" t="s">
        <v>328</v>
      </c>
      <c r="I277" s="147" t="s">
        <v>88</v>
      </c>
      <c r="J277" s="148" t="s">
        <v>81</v>
      </c>
      <c r="K277" s="149" t="s">
        <v>88</v>
      </c>
      <c r="L277" s="150" t="s">
        <v>1462</v>
      </c>
      <c r="M277" s="150" t="s">
        <v>1463</v>
      </c>
      <c r="N277" s="150" t="s">
        <v>1464</v>
      </c>
      <c r="O277" s="150" t="s">
        <v>1465</v>
      </c>
      <c r="P277" s="150" t="s">
        <v>1097</v>
      </c>
      <c r="Q277" s="150" t="s">
        <v>1467</v>
      </c>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50"/>
      <c r="AM277" s="150"/>
      <c r="AN277" s="150"/>
      <c r="AO277" s="150"/>
      <c r="AP277" s="150"/>
      <c r="AQ277" s="150"/>
      <c r="AR277" s="150"/>
      <c r="AS277" s="150"/>
      <c r="AT277" s="150"/>
      <c r="AU277" s="150"/>
      <c r="AV277" s="150"/>
      <c r="AW277" s="150"/>
      <c r="AX277" s="150"/>
      <c r="AY277" s="151"/>
      <c r="AZ277" s="151"/>
      <c r="BA277" s="151"/>
      <c r="BB277" s="151"/>
      <c r="BC277" s="151"/>
      <c r="BD277" s="151"/>
      <c r="BE277" s="151"/>
      <c r="BF277" s="151"/>
      <c r="BG277" s="151"/>
      <c r="BH277" s="151"/>
      <c r="BI277" s="151"/>
      <c r="BJ277" s="151"/>
      <c r="BK277" s="151"/>
      <c r="BL277" s="151"/>
      <c r="BM277" s="151"/>
      <c r="BN277" s="151"/>
      <c r="BO277" s="151"/>
      <c r="BP277" s="151"/>
      <c r="BQ277" s="151"/>
      <c r="BR277" s="151"/>
    </row>
    <row r="278" s="75" customFormat="true" ht="30" hidden="false" customHeight="false" outlineLevel="0" collapsed="false">
      <c r="A278" s="141" t="s">
        <v>916</v>
      </c>
      <c r="B278" s="142" t="s">
        <v>1090</v>
      </c>
      <c r="C278" s="143" t="s">
        <v>1468</v>
      </c>
      <c r="D278" s="144"/>
      <c r="E278" s="144"/>
      <c r="F278" s="144"/>
      <c r="G278" s="145"/>
      <c r="H278" s="146" t="s">
        <v>328</v>
      </c>
      <c r="I278" s="147" t="s">
        <v>88</v>
      </c>
      <c r="J278" s="148" t="s">
        <v>328</v>
      </c>
      <c r="K278" s="149" t="s">
        <v>88</v>
      </c>
      <c r="L278" s="150" t="s">
        <v>1462</v>
      </c>
      <c r="M278" s="150" t="s">
        <v>1463</v>
      </c>
      <c r="N278" s="150" t="s">
        <v>1469</v>
      </c>
      <c r="O278" s="150" t="s">
        <v>1470</v>
      </c>
      <c r="P278" s="150" t="s">
        <v>1097</v>
      </c>
      <c r="Q278" s="150" t="s">
        <v>1467</v>
      </c>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50"/>
      <c r="AM278" s="150"/>
      <c r="AN278" s="150"/>
      <c r="AO278" s="150"/>
      <c r="AP278" s="150"/>
      <c r="AQ278" s="150"/>
      <c r="AR278" s="150"/>
      <c r="AS278" s="150"/>
      <c r="AT278" s="150"/>
      <c r="AU278" s="150"/>
      <c r="AV278" s="150"/>
      <c r="AW278" s="150"/>
      <c r="AX278" s="150"/>
      <c r="AY278" s="151"/>
      <c r="AZ278" s="151"/>
      <c r="BA278" s="151"/>
      <c r="BB278" s="151"/>
      <c r="BC278" s="151"/>
      <c r="BD278" s="151"/>
      <c r="BE278" s="151"/>
      <c r="BF278" s="151"/>
      <c r="BG278" s="151"/>
      <c r="BH278" s="151"/>
      <c r="BI278" s="151"/>
      <c r="BJ278" s="151"/>
      <c r="BK278" s="151"/>
      <c r="BL278" s="151"/>
      <c r="BM278" s="151"/>
      <c r="BN278" s="151"/>
      <c r="BO278" s="151"/>
      <c r="BP278" s="151"/>
      <c r="BQ278" s="151"/>
      <c r="BR278" s="151"/>
    </row>
    <row r="279" s="75" customFormat="true" ht="15" hidden="false" customHeight="false" outlineLevel="0" collapsed="false">
      <c r="A279" s="141"/>
      <c r="B279" s="142"/>
      <c r="C279" s="143"/>
      <c r="D279" s="144"/>
      <c r="E279" s="144"/>
      <c r="F279" s="144"/>
      <c r="G279" s="145"/>
      <c r="H279" s="146"/>
      <c r="I279" s="147"/>
      <c r="J279" s="148"/>
      <c r="K279" s="149"/>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50"/>
      <c r="AM279" s="150"/>
      <c r="AN279" s="150"/>
      <c r="AO279" s="150"/>
      <c r="AP279" s="150"/>
      <c r="AQ279" s="150"/>
      <c r="AR279" s="150"/>
      <c r="AS279" s="150"/>
      <c r="AT279" s="150"/>
      <c r="AU279" s="150"/>
      <c r="AV279" s="150"/>
      <c r="AW279" s="150"/>
      <c r="AX279" s="150"/>
      <c r="AY279" s="151"/>
      <c r="AZ279" s="151"/>
      <c r="BA279" s="151"/>
      <c r="BB279" s="151"/>
      <c r="BC279" s="151"/>
      <c r="BD279" s="151"/>
      <c r="BE279" s="151"/>
      <c r="BF279" s="151"/>
      <c r="BG279" s="151"/>
      <c r="BH279" s="151"/>
      <c r="BI279" s="151"/>
      <c r="BJ279" s="151"/>
      <c r="BK279" s="151"/>
      <c r="BL279" s="151"/>
      <c r="BM279" s="151"/>
      <c r="BN279" s="151"/>
      <c r="BO279" s="151"/>
      <c r="BP279" s="151"/>
      <c r="BQ279" s="151"/>
      <c r="BR279" s="151"/>
    </row>
    <row r="280" s="75" customFormat="true" ht="15" hidden="false" customHeight="false" outlineLevel="0" collapsed="false">
      <c r="A280" s="141" t="s">
        <v>922</v>
      </c>
      <c r="B280" s="142" t="s">
        <v>1090</v>
      </c>
      <c r="C280" s="143" t="s">
        <v>1471</v>
      </c>
      <c r="D280" s="144"/>
      <c r="E280" s="144"/>
      <c r="F280" s="144"/>
      <c r="G280" s="145"/>
      <c r="H280" s="146" t="s">
        <v>81</v>
      </c>
      <c r="I280" s="147" t="s">
        <v>88</v>
      </c>
      <c r="J280" s="148" t="s">
        <v>81</v>
      </c>
      <c r="K280" s="149" t="s">
        <v>88</v>
      </c>
      <c r="L280" s="150" t="s">
        <v>1472</v>
      </c>
      <c r="M280" s="150" t="s">
        <v>1473</v>
      </c>
      <c r="N280" s="150" t="s">
        <v>1474</v>
      </c>
      <c r="O280" s="150" t="s">
        <v>1475</v>
      </c>
      <c r="P280" s="150" t="s">
        <v>1476</v>
      </c>
      <c r="Q280" s="150" t="s">
        <v>1477</v>
      </c>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50"/>
      <c r="AM280" s="150"/>
      <c r="AN280" s="150"/>
      <c r="AO280" s="150"/>
      <c r="AP280" s="150"/>
      <c r="AQ280" s="150"/>
      <c r="AR280" s="150"/>
      <c r="AS280" s="150"/>
      <c r="AT280" s="150"/>
      <c r="AU280" s="150"/>
      <c r="AV280" s="150"/>
      <c r="AW280" s="150"/>
      <c r="AX280" s="150"/>
      <c r="AY280" s="151"/>
      <c r="AZ280" s="151"/>
      <c r="BA280" s="151"/>
      <c r="BB280" s="151"/>
      <c r="BC280" s="151"/>
      <c r="BD280" s="151"/>
      <c r="BE280" s="151"/>
      <c r="BF280" s="151"/>
      <c r="BG280" s="151"/>
      <c r="BH280" s="151"/>
      <c r="BI280" s="151"/>
      <c r="BJ280" s="151"/>
      <c r="BK280" s="151"/>
      <c r="BL280" s="151"/>
      <c r="BM280" s="151"/>
      <c r="BN280" s="151"/>
      <c r="BO280" s="151"/>
      <c r="BP280" s="151"/>
      <c r="BQ280" s="151"/>
      <c r="BR280" s="151"/>
    </row>
    <row r="281" s="75" customFormat="true" ht="15" hidden="false" customHeight="false" outlineLevel="0" collapsed="false">
      <c r="A281" s="141"/>
      <c r="B281" s="142"/>
      <c r="C281" s="143"/>
      <c r="D281" s="144"/>
      <c r="E281" s="144"/>
      <c r="F281" s="144"/>
      <c r="G281" s="145"/>
      <c r="H281" s="146"/>
      <c r="I281" s="147"/>
      <c r="J281" s="148"/>
      <c r="K281" s="149"/>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50"/>
      <c r="AM281" s="150"/>
      <c r="AN281" s="150"/>
      <c r="AO281" s="150"/>
      <c r="AP281" s="150"/>
      <c r="AQ281" s="150"/>
      <c r="AR281" s="150"/>
      <c r="AS281" s="150"/>
      <c r="AT281" s="150"/>
      <c r="AU281" s="150"/>
      <c r="AV281" s="150"/>
      <c r="AW281" s="150"/>
      <c r="AX281" s="150"/>
      <c r="AY281" s="151"/>
      <c r="AZ281" s="151"/>
      <c r="BA281" s="151"/>
      <c r="BB281" s="151"/>
      <c r="BC281" s="151"/>
      <c r="BD281" s="151"/>
      <c r="BE281" s="151"/>
      <c r="BF281" s="151"/>
      <c r="BG281" s="151"/>
      <c r="BH281" s="151"/>
      <c r="BI281" s="151"/>
      <c r="BJ281" s="151"/>
      <c r="BK281" s="151"/>
      <c r="BL281" s="151"/>
      <c r="BM281" s="151"/>
      <c r="BN281" s="151"/>
      <c r="BO281" s="151"/>
      <c r="BP281" s="151"/>
      <c r="BQ281" s="151"/>
      <c r="BR281" s="151"/>
    </row>
    <row r="282" s="75" customFormat="true" ht="30" hidden="false" customHeight="false" outlineLevel="0" collapsed="false">
      <c r="A282" s="141" t="s">
        <v>925</v>
      </c>
      <c r="B282" s="142" t="s">
        <v>1152</v>
      </c>
      <c r="C282" s="143" t="s">
        <v>1233</v>
      </c>
      <c r="D282" s="144" t="s">
        <v>1153</v>
      </c>
      <c r="E282" s="144" t="s">
        <v>1153</v>
      </c>
      <c r="F282" s="144" t="s">
        <v>1089</v>
      </c>
      <c r="G282" s="145" t="s">
        <v>1153</v>
      </c>
      <c r="H282" s="146" t="s">
        <v>81</v>
      </c>
      <c r="I282" s="147" t="s">
        <v>82</v>
      </c>
      <c r="J282" s="148" t="s">
        <v>81</v>
      </c>
      <c r="K282" s="149" t="s">
        <v>82</v>
      </c>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50"/>
      <c r="AM282" s="150"/>
      <c r="AN282" s="150"/>
      <c r="AO282" s="150"/>
      <c r="AP282" s="150"/>
      <c r="AQ282" s="150"/>
      <c r="AR282" s="150"/>
      <c r="AS282" s="150"/>
      <c r="AT282" s="150"/>
      <c r="AU282" s="150"/>
      <c r="AV282" s="150"/>
      <c r="AW282" s="150"/>
      <c r="AX282" s="150"/>
      <c r="AY282" s="151"/>
      <c r="AZ282" s="151"/>
      <c r="BA282" s="151"/>
      <c r="BB282" s="151"/>
      <c r="BC282" s="151"/>
      <c r="BD282" s="151"/>
      <c r="BE282" s="151"/>
      <c r="BF282" s="151"/>
      <c r="BG282" s="151"/>
      <c r="BH282" s="151"/>
      <c r="BI282" s="151"/>
      <c r="BJ282" s="151"/>
      <c r="BK282" s="151"/>
      <c r="BL282" s="151"/>
      <c r="BM282" s="151"/>
      <c r="BN282" s="151"/>
      <c r="BO282" s="151"/>
      <c r="BP282" s="151"/>
      <c r="BQ282" s="151"/>
      <c r="BR282" s="151"/>
    </row>
    <row r="283" s="75" customFormat="true" ht="15" hidden="false" customHeight="false" outlineLevel="0" collapsed="false">
      <c r="A283" s="141"/>
      <c r="B283" s="142"/>
      <c r="C283" s="143"/>
      <c r="D283" s="144"/>
      <c r="E283" s="144"/>
      <c r="F283" s="144"/>
      <c r="G283" s="145"/>
      <c r="H283" s="146"/>
      <c r="I283" s="147"/>
      <c r="J283" s="148"/>
      <c r="K283" s="149"/>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50"/>
      <c r="AM283" s="150"/>
      <c r="AN283" s="150"/>
      <c r="AO283" s="150"/>
      <c r="AP283" s="150"/>
      <c r="AQ283" s="150"/>
      <c r="AR283" s="150"/>
      <c r="AS283" s="150"/>
      <c r="AT283" s="150"/>
      <c r="AU283" s="150"/>
      <c r="AV283" s="150"/>
      <c r="AW283" s="150"/>
      <c r="AX283" s="150"/>
      <c r="AY283" s="151"/>
      <c r="AZ283" s="151"/>
      <c r="BA283" s="151"/>
      <c r="BB283" s="151"/>
      <c r="BC283" s="151"/>
      <c r="BD283" s="151"/>
      <c r="BE283" s="151"/>
      <c r="BF283" s="151"/>
      <c r="BG283" s="151"/>
      <c r="BH283" s="151"/>
      <c r="BI283" s="151"/>
      <c r="BJ283" s="151"/>
      <c r="BK283" s="151"/>
      <c r="BL283" s="151"/>
      <c r="BM283" s="151"/>
      <c r="BN283" s="151"/>
      <c r="BO283" s="151"/>
      <c r="BP283" s="151"/>
      <c r="BQ283" s="151"/>
      <c r="BR283" s="151"/>
    </row>
    <row r="284" s="75" customFormat="true" ht="30" hidden="false" customHeight="false" outlineLevel="0" collapsed="false">
      <c r="A284" s="141" t="s">
        <v>936</v>
      </c>
      <c r="B284" s="142" t="s">
        <v>1152</v>
      </c>
      <c r="C284" s="143" t="s">
        <v>1478</v>
      </c>
      <c r="D284" s="144" t="s">
        <v>1086</v>
      </c>
      <c r="E284" s="144" t="s">
        <v>1086</v>
      </c>
      <c r="F284" s="144" t="s">
        <v>1087</v>
      </c>
      <c r="G284" s="145" t="s">
        <v>1087</v>
      </c>
      <c r="H284" s="146" t="s">
        <v>81</v>
      </c>
      <c r="I284" s="147" t="s">
        <v>82</v>
      </c>
      <c r="J284" s="148" t="s">
        <v>81</v>
      </c>
      <c r="K284" s="149" t="s">
        <v>82</v>
      </c>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50"/>
      <c r="AM284" s="150"/>
      <c r="AN284" s="150"/>
      <c r="AO284" s="150"/>
      <c r="AP284" s="150"/>
      <c r="AQ284" s="150"/>
      <c r="AR284" s="150"/>
      <c r="AS284" s="150"/>
      <c r="AT284" s="150"/>
      <c r="AU284" s="150"/>
      <c r="AV284" s="150"/>
      <c r="AW284" s="150"/>
      <c r="AX284" s="150"/>
      <c r="AY284" s="151"/>
      <c r="AZ284" s="151"/>
      <c r="BA284" s="151"/>
      <c r="BB284" s="151"/>
      <c r="BC284" s="151"/>
      <c r="BD284" s="151"/>
      <c r="BE284" s="151"/>
      <c r="BF284" s="151"/>
      <c r="BG284" s="151"/>
      <c r="BH284" s="151"/>
      <c r="BI284" s="151"/>
      <c r="BJ284" s="151"/>
      <c r="BK284" s="151"/>
      <c r="BL284" s="151"/>
      <c r="BM284" s="151"/>
      <c r="BN284" s="151"/>
      <c r="BO284" s="151"/>
      <c r="BP284" s="151"/>
      <c r="BQ284" s="151"/>
      <c r="BR284" s="151"/>
    </row>
    <row r="285" s="75" customFormat="true" ht="30" hidden="false" customHeight="false" outlineLevel="0" collapsed="false">
      <c r="A285" s="141" t="s">
        <v>940</v>
      </c>
      <c r="B285" s="142" t="s">
        <v>1152</v>
      </c>
      <c r="C285" s="143" t="s">
        <v>1479</v>
      </c>
      <c r="D285" s="144" t="s">
        <v>1086</v>
      </c>
      <c r="E285" s="144" t="s">
        <v>1086</v>
      </c>
      <c r="F285" s="144" t="s">
        <v>1089</v>
      </c>
      <c r="G285" s="145" t="s">
        <v>1089</v>
      </c>
      <c r="H285" s="146" t="s">
        <v>81</v>
      </c>
      <c r="I285" s="147" t="s">
        <v>82</v>
      </c>
      <c r="J285" s="148" t="s">
        <v>81</v>
      </c>
      <c r="K285" s="149" t="s">
        <v>82</v>
      </c>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50"/>
      <c r="AM285" s="150"/>
      <c r="AN285" s="150"/>
      <c r="AO285" s="150"/>
      <c r="AP285" s="150"/>
      <c r="AQ285" s="150"/>
      <c r="AR285" s="150"/>
      <c r="AS285" s="150"/>
      <c r="AT285" s="150"/>
      <c r="AU285" s="150"/>
      <c r="AV285" s="150"/>
      <c r="AW285" s="150"/>
      <c r="AX285" s="150"/>
      <c r="AY285" s="151"/>
      <c r="AZ285" s="151"/>
      <c r="BA285" s="151"/>
      <c r="BB285" s="151"/>
      <c r="BC285" s="151"/>
      <c r="BD285" s="151"/>
      <c r="BE285" s="151"/>
      <c r="BF285" s="151"/>
      <c r="BG285" s="151"/>
      <c r="BH285" s="151"/>
      <c r="BI285" s="151"/>
      <c r="BJ285" s="151"/>
      <c r="BK285" s="151"/>
      <c r="BL285" s="151"/>
      <c r="BM285" s="151"/>
      <c r="BN285" s="151"/>
      <c r="BO285" s="151"/>
      <c r="BP285" s="151"/>
      <c r="BQ285" s="151"/>
      <c r="BR285" s="151"/>
    </row>
    <row r="286" s="75" customFormat="true" ht="30" hidden="false" customHeight="false" outlineLevel="0" collapsed="false">
      <c r="A286" s="141" t="s">
        <v>950</v>
      </c>
      <c r="B286" s="142" t="s">
        <v>1152</v>
      </c>
      <c r="C286" s="143" t="s">
        <v>1480</v>
      </c>
      <c r="D286" s="144" t="s">
        <v>1086</v>
      </c>
      <c r="E286" s="144" t="s">
        <v>1086</v>
      </c>
      <c r="F286" s="144" t="s">
        <v>1089</v>
      </c>
      <c r="G286" s="145" t="s">
        <v>1089</v>
      </c>
      <c r="H286" s="146" t="s">
        <v>81</v>
      </c>
      <c r="I286" s="147" t="s">
        <v>82</v>
      </c>
      <c r="J286" s="148" t="s">
        <v>81</v>
      </c>
      <c r="K286" s="149" t="s">
        <v>82</v>
      </c>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50"/>
      <c r="AM286" s="150"/>
      <c r="AN286" s="150"/>
      <c r="AO286" s="150"/>
      <c r="AP286" s="150"/>
      <c r="AQ286" s="150"/>
      <c r="AR286" s="150"/>
      <c r="AS286" s="150"/>
      <c r="AT286" s="150"/>
      <c r="AU286" s="150"/>
      <c r="AV286" s="150"/>
      <c r="AW286" s="150"/>
      <c r="AX286" s="150"/>
      <c r="AY286" s="151"/>
      <c r="AZ286" s="151"/>
      <c r="BA286" s="151"/>
      <c r="BB286" s="151"/>
      <c r="BC286" s="151"/>
      <c r="BD286" s="151"/>
      <c r="BE286" s="151"/>
      <c r="BF286" s="151"/>
      <c r="BG286" s="151"/>
      <c r="BH286" s="151"/>
      <c r="BI286" s="151"/>
      <c r="BJ286" s="151"/>
      <c r="BK286" s="151"/>
      <c r="BL286" s="151"/>
      <c r="BM286" s="151"/>
      <c r="BN286" s="151"/>
      <c r="BO286" s="151"/>
      <c r="BP286" s="151"/>
      <c r="BQ286" s="151"/>
      <c r="BR286" s="151"/>
    </row>
    <row r="287" s="75" customFormat="true" ht="15" hidden="false" customHeight="false" outlineLevel="0" collapsed="false">
      <c r="A287" s="141"/>
      <c r="B287" s="142"/>
      <c r="C287" s="143"/>
      <c r="D287" s="144"/>
      <c r="E287" s="144"/>
      <c r="F287" s="144"/>
      <c r="G287" s="145"/>
      <c r="H287" s="146"/>
      <c r="I287" s="147"/>
      <c r="J287" s="148"/>
      <c r="K287" s="149"/>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50"/>
      <c r="AM287" s="150"/>
      <c r="AN287" s="150"/>
      <c r="AO287" s="150"/>
      <c r="AP287" s="150"/>
      <c r="AQ287" s="150"/>
      <c r="AR287" s="150"/>
      <c r="AS287" s="150"/>
      <c r="AT287" s="150"/>
      <c r="AU287" s="150"/>
      <c r="AV287" s="150"/>
      <c r="AW287" s="150"/>
      <c r="AX287" s="150"/>
      <c r="AY287" s="151"/>
      <c r="AZ287" s="151"/>
      <c r="BA287" s="151"/>
      <c r="BB287" s="151"/>
      <c r="BC287" s="151"/>
      <c r="BD287" s="151"/>
      <c r="BE287" s="151"/>
      <c r="BF287" s="151"/>
      <c r="BG287" s="151"/>
      <c r="BH287" s="151"/>
      <c r="BI287" s="151"/>
      <c r="BJ287" s="151"/>
      <c r="BK287" s="151"/>
      <c r="BL287" s="151"/>
      <c r="BM287" s="151"/>
      <c r="BN287" s="151"/>
      <c r="BO287" s="151"/>
      <c r="BP287" s="151"/>
      <c r="BQ287" s="151"/>
      <c r="BR287" s="151"/>
    </row>
    <row r="288" s="75" customFormat="true" ht="30" hidden="false" customHeight="false" outlineLevel="0" collapsed="false">
      <c r="A288" s="141" t="s">
        <v>960</v>
      </c>
      <c r="B288" s="142" t="s">
        <v>1090</v>
      </c>
      <c r="C288" s="143" t="s">
        <v>1481</v>
      </c>
      <c r="D288" s="144"/>
      <c r="E288" s="144"/>
      <c r="F288" s="144"/>
      <c r="G288" s="145"/>
      <c r="H288" s="146" t="s">
        <v>231</v>
      </c>
      <c r="I288" s="147" t="s">
        <v>88</v>
      </c>
      <c r="J288" s="148" t="s">
        <v>231</v>
      </c>
      <c r="K288" s="149" t="s">
        <v>88</v>
      </c>
      <c r="L288" s="150" t="s">
        <v>1482</v>
      </c>
      <c r="M288" s="150" t="s">
        <v>1483</v>
      </c>
      <c r="N288" s="150" t="s">
        <v>1484</v>
      </c>
      <c r="O288" s="150" t="s">
        <v>1485</v>
      </c>
      <c r="P288" s="150" t="s">
        <v>1486</v>
      </c>
      <c r="Q288" s="150" t="s">
        <v>1097</v>
      </c>
      <c r="R288" s="150" t="s">
        <v>1313</v>
      </c>
      <c r="S288" s="150"/>
      <c r="T288" s="150"/>
      <c r="U288" s="150"/>
      <c r="V288" s="150"/>
      <c r="W288" s="150"/>
      <c r="X288" s="150"/>
      <c r="Y288" s="150"/>
      <c r="Z288" s="150"/>
      <c r="AA288" s="150"/>
      <c r="AB288" s="150"/>
      <c r="AC288" s="150"/>
      <c r="AD288" s="150"/>
      <c r="AE288" s="150"/>
      <c r="AF288" s="150"/>
      <c r="AG288" s="150"/>
      <c r="AH288" s="150"/>
      <c r="AI288" s="150"/>
      <c r="AJ288" s="150"/>
      <c r="AK288" s="150"/>
      <c r="AL288" s="150"/>
      <c r="AM288" s="150"/>
      <c r="AN288" s="150"/>
      <c r="AO288" s="150"/>
      <c r="AP288" s="150"/>
      <c r="AQ288" s="150"/>
      <c r="AR288" s="150"/>
      <c r="AS288" s="150"/>
      <c r="AT288" s="150"/>
      <c r="AU288" s="150"/>
      <c r="AV288" s="150"/>
      <c r="AW288" s="150"/>
      <c r="AX288" s="150"/>
      <c r="AY288" s="151"/>
      <c r="AZ288" s="151"/>
      <c r="BA288" s="151"/>
      <c r="BB288" s="151"/>
      <c r="BC288" s="151"/>
      <c r="BD288" s="151"/>
      <c r="BE288" s="151"/>
      <c r="BF288" s="151"/>
      <c r="BG288" s="151"/>
      <c r="BH288" s="151"/>
      <c r="BI288" s="151"/>
      <c r="BJ288" s="151"/>
      <c r="BK288" s="151"/>
      <c r="BL288" s="151"/>
      <c r="BM288" s="151"/>
      <c r="BN288" s="151"/>
      <c r="BO288" s="151"/>
      <c r="BP288" s="151"/>
      <c r="BQ288" s="151"/>
      <c r="BR288" s="151"/>
    </row>
    <row r="289" s="75" customFormat="true" ht="15" hidden="false" customHeight="false" outlineLevel="0" collapsed="false">
      <c r="A289" s="141"/>
      <c r="B289" s="142"/>
      <c r="C289" s="143"/>
      <c r="D289" s="144"/>
      <c r="E289" s="144"/>
      <c r="F289" s="144"/>
      <c r="G289" s="145"/>
      <c r="H289" s="146"/>
      <c r="I289" s="147"/>
      <c r="J289" s="148"/>
      <c r="K289" s="149"/>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50"/>
      <c r="AM289" s="150"/>
      <c r="AN289" s="150"/>
      <c r="AO289" s="150"/>
      <c r="AP289" s="150"/>
      <c r="AQ289" s="150"/>
      <c r="AR289" s="150"/>
      <c r="AS289" s="150"/>
      <c r="AT289" s="150"/>
      <c r="AU289" s="150"/>
      <c r="AV289" s="150"/>
      <c r="AW289" s="150"/>
      <c r="AX289" s="150"/>
      <c r="AY289" s="151"/>
      <c r="AZ289" s="151"/>
      <c r="BA289" s="151"/>
      <c r="BB289" s="151"/>
      <c r="BC289" s="151"/>
      <c r="BD289" s="151"/>
      <c r="BE289" s="151"/>
      <c r="BF289" s="151"/>
      <c r="BG289" s="151"/>
      <c r="BH289" s="151"/>
      <c r="BI289" s="151"/>
      <c r="BJ289" s="151"/>
      <c r="BK289" s="151"/>
      <c r="BL289" s="151"/>
      <c r="BM289" s="151"/>
      <c r="BN289" s="151"/>
      <c r="BO289" s="151"/>
      <c r="BP289" s="151"/>
      <c r="BQ289" s="151"/>
      <c r="BR289" s="151"/>
    </row>
    <row r="290" s="75" customFormat="true" ht="30" hidden="false" customHeight="false" outlineLevel="0" collapsed="false">
      <c r="A290" s="141" t="s">
        <v>962</v>
      </c>
      <c r="B290" s="142" t="s">
        <v>1118</v>
      </c>
      <c r="C290" s="143" t="s">
        <v>963</v>
      </c>
      <c r="D290" s="144"/>
      <c r="E290" s="144"/>
      <c r="F290" s="144"/>
      <c r="G290" s="145"/>
      <c r="H290" s="146" t="s">
        <v>81</v>
      </c>
      <c r="I290" s="147" t="s">
        <v>964</v>
      </c>
      <c r="J290" s="148" t="s">
        <v>81</v>
      </c>
      <c r="K290" s="149" t="s">
        <v>1487</v>
      </c>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50"/>
      <c r="AM290" s="150"/>
      <c r="AN290" s="150"/>
      <c r="AO290" s="150"/>
      <c r="AP290" s="150"/>
      <c r="AQ290" s="150"/>
      <c r="AR290" s="150"/>
      <c r="AS290" s="150"/>
      <c r="AT290" s="150"/>
      <c r="AU290" s="150"/>
      <c r="AV290" s="150"/>
      <c r="AW290" s="150"/>
      <c r="AX290" s="150"/>
      <c r="AY290" s="151"/>
      <c r="AZ290" s="151"/>
      <c r="BA290" s="151"/>
      <c r="BB290" s="151"/>
      <c r="BC290" s="151"/>
      <c r="BD290" s="151"/>
      <c r="BE290" s="151"/>
      <c r="BF290" s="151"/>
      <c r="BG290" s="151"/>
      <c r="BH290" s="151"/>
      <c r="BI290" s="151"/>
      <c r="BJ290" s="151"/>
      <c r="BK290" s="151"/>
      <c r="BL290" s="151"/>
      <c r="BM290" s="151"/>
      <c r="BN290" s="151"/>
      <c r="BO290" s="151"/>
      <c r="BP290" s="151"/>
      <c r="BQ290" s="151"/>
      <c r="BR290" s="151"/>
    </row>
    <row r="291" s="75" customFormat="true" ht="15" hidden="false" customHeight="false" outlineLevel="0" collapsed="false">
      <c r="A291" s="141"/>
      <c r="B291" s="142"/>
      <c r="C291" s="143"/>
      <c r="D291" s="144"/>
      <c r="E291" s="144"/>
      <c r="F291" s="144"/>
      <c r="G291" s="145"/>
      <c r="H291" s="146"/>
      <c r="I291" s="147"/>
      <c r="J291" s="148"/>
      <c r="K291" s="149"/>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50"/>
      <c r="AM291" s="150"/>
      <c r="AN291" s="150"/>
      <c r="AO291" s="150"/>
      <c r="AP291" s="150"/>
      <c r="AQ291" s="150"/>
      <c r="AR291" s="150"/>
      <c r="AS291" s="150"/>
      <c r="AT291" s="150"/>
      <c r="AU291" s="150"/>
      <c r="AV291" s="150"/>
      <c r="AW291" s="150"/>
      <c r="AX291" s="150"/>
      <c r="AY291" s="151"/>
      <c r="AZ291" s="151"/>
      <c r="BA291" s="151"/>
      <c r="BB291" s="151"/>
      <c r="BC291" s="151"/>
      <c r="BD291" s="151"/>
      <c r="BE291" s="151"/>
      <c r="BF291" s="151"/>
      <c r="BG291" s="151"/>
      <c r="BH291" s="151"/>
      <c r="BI291" s="151"/>
      <c r="BJ291" s="151"/>
      <c r="BK291" s="151"/>
      <c r="BL291" s="151"/>
      <c r="BM291" s="151"/>
      <c r="BN291" s="151"/>
      <c r="BO291" s="151"/>
      <c r="BP291" s="151"/>
      <c r="BQ291" s="151"/>
      <c r="BR291" s="151"/>
    </row>
    <row r="292" s="75" customFormat="true" ht="15" hidden="false" customHeight="false" outlineLevel="0" collapsed="false">
      <c r="A292" s="141" t="s">
        <v>965</v>
      </c>
      <c r="B292" s="142" t="s">
        <v>1152</v>
      </c>
      <c r="C292" s="143" t="s">
        <v>1488</v>
      </c>
      <c r="D292" s="144" t="s">
        <v>1153</v>
      </c>
      <c r="E292" s="144" t="s">
        <v>1153</v>
      </c>
      <c r="F292" s="144" t="s">
        <v>1089</v>
      </c>
      <c r="G292" s="145" t="s">
        <v>1153</v>
      </c>
      <c r="H292" s="146" t="s">
        <v>420</v>
      </c>
      <c r="I292" s="147" t="s">
        <v>82</v>
      </c>
      <c r="J292" s="148" t="s">
        <v>478</v>
      </c>
      <c r="K292" s="149" t="s">
        <v>82</v>
      </c>
      <c r="L292" s="150" t="s">
        <v>1239</v>
      </c>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50"/>
      <c r="AM292" s="150"/>
      <c r="AN292" s="150"/>
      <c r="AO292" s="150"/>
      <c r="AP292" s="150"/>
      <c r="AQ292" s="150"/>
      <c r="AR292" s="150"/>
      <c r="AS292" s="150"/>
      <c r="AT292" s="150"/>
      <c r="AU292" s="150"/>
      <c r="AV292" s="150"/>
      <c r="AW292" s="150"/>
      <c r="AX292" s="150"/>
      <c r="AY292" s="151"/>
      <c r="AZ292" s="151"/>
      <c r="BA292" s="151"/>
      <c r="BB292" s="151"/>
      <c r="BC292" s="151"/>
      <c r="BD292" s="151"/>
      <c r="BE292" s="151"/>
      <c r="BF292" s="151"/>
      <c r="BG292" s="151"/>
      <c r="BH292" s="151"/>
      <c r="BI292" s="151"/>
      <c r="BJ292" s="151"/>
      <c r="BK292" s="151"/>
      <c r="BL292" s="151"/>
      <c r="BM292" s="151"/>
      <c r="BN292" s="151"/>
      <c r="BO292" s="151"/>
      <c r="BP292" s="151"/>
      <c r="BQ292" s="151"/>
      <c r="BR292" s="151"/>
    </row>
    <row r="293" s="75" customFormat="true" ht="15" hidden="false" customHeight="false" outlineLevel="0" collapsed="false">
      <c r="A293" s="141"/>
      <c r="B293" s="142"/>
      <c r="C293" s="143"/>
      <c r="D293" s="144"/>
      <c r="E293" s="144"/>
      <c r="F293" s="144"/>
      <c r="G293" s="145"/>
      <c r="H293" s="146"/>
      <c r="I293" s="147"/>
      <c r="J293" s="148"/>
      <c r="K293" s="149"/>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50"/>
      <c r="AM293" s="150"/>
      <c r="AN293" s="150"/>
      <c r="AO293" s="150"/>
      <c r="AP293" s="150"/>
      <c r="AQ293" s="150"/>
      <c r="AR293" s="150"/>
      <c r="AS293" s="150"/>
      <c r="AT293" s="150"/>
      <c r="AU293" s="150"/>
      <c r="AV293" s="150"/>
      <c r="AW293" s="150"/>
      <c r="AX293" s="150"/>
      <c r="AY293" s="151"/>
      <c r="AZ293" s="151"/>
      <c r="BA293" s="151"/>
      <c r="BB293" s="151"/>
      <c r="BC293" s="151"/>
      <c r="BD293" s="151"/>
      <c r="BE293" s="151"/>
      <c r="BF293" s="151"/>
      <c r="BG293" s="151"/>
      <c r="BH293" s="151"/>
      <c r="BI293" s="151"/>
      <c r="BJ293" s="151"/>
      <c r="BK293" s="151"/>
      <c r="BL293" s="151"/>
      <c r="BM293" s="151"/>
      <c r="BN293" s="151"/>
      <c r="BO293" s="151"/>
      <c r="BP293" s="151"/>
      <c r="BQ293" s="151"/>
      <c r="BR293" s="151"/>
    </row>
    <row r="294" s="140" customFormat="true" ht="15" hidden="false" customHeight="false" outlineLevel="0" collapsed="false">
      <c r="A294" s="129" t="s">
        <v>967</v>
      </c>
      <c r="B294" s="130" t="s">
        <v>1090</v>
      </c>
      <c r="C294" s="131" t="s">
        <v>968</v>
      </c>
      <c r="D294" s="132"/>
      <c r="E294" s="132"/>
      <c r="F294" s="132"/>
      <c r="G294" s="133"/>
      <c r="H294" s="134" t="s">
        <v>1099</v>
      </c>
      <c r="I294" s="135" t="s">
        <v>88</v>
      </c>
      <c r="J294" s="136" t="s">
        <v>81</v>
      </c>
      <c r="K294" s="137" t="s">
        <v>88</v>
      </c>
      <c r="L294" s="138" t="s">
        <v>1489</v>
      </c>
      <c r="M294" s="138" t="s">
        <v>1490</v>
      </c>
      <c r="N294" s="138"/>
      <c r="O294" s="138"/>
      <c r="P294" s="138"/>
      <c r="Q294" s="138"/>
      <c r="R294" s="138"/>
      <c r="S294" s="138"/>
      <c r="T294" s="138"/>
      <c r="U294" s="138"/>
      <c r="V294" s="138"/>
      <c r="W294" s="138"/>
      <c r="X294" s="138"/>
      <c r="Y294" s="138"/>
      <c r="Z294" s="138"/>
      <c r="AA294" s="138"/>
      <c r="AB294" s="138"/>
      <c r="AC294" s="138"/>
      <c r="AD294" s="138"/>
      <c r="AE294" s="138"/>
      <c r="AF294" s="138"/>
      <c r="AG294" s="138"/>
      <c r="AH294" s="138"/>
      <c r="AI294" s="138"/>
      <c r="AJ294" s="138"/>
      <c r="AK294" s="138"/>
      <c r="AL294" s="138"/>
      <c r="AM294" s="138"/>
      <c r="AN294" s="138"/>
      <c r="AO294" s="138"/>
      <c r="AP294" s="138"/>
      <c r="AQ294" s="138"/>
      <c r="AR294" s="138"/>
      <c r="AS294" s="138"/>
      <c r="AT294" s="138"/>
      <c r="AU294" s="138"/>
      <c r="AV294" s="138"/>
      <c r="AW294" s="138"/>
      <c r="AX294" s="138"/>
      <c r="AY294" s="139"/>
      <c r="AZ294" s="139"/>
      <c r="BA294" s="139"/>
      <c r="BB294" s="139"/>
      <c r="BC294" s="139"/>
      <c r="BD294" s="139"/>
      <c r="BE294" s="139"/>
      <c r="BF294" s="139"/>
      <c r="BG294" s="139"/>
      <c r="BH294" s="139"/>
      <c r="BI294" s="139"/>
      <c r="BJ294" s="139"/>
      <c r="BK294" s="139"/>
      <c r="BL294" s="139"/>
      <c r="BM294" s="139"/>
      <c r="BN294" s="139"/>
      <c r="BO294" s="139"/>
      <c r="BP294" s="139"/>
      <c r="BQ294" s="139"/>
      <c r="BR294" s="139"/>
    </row>
    <row r="295" s="75" customFormat="true" ht="15" hidden="false" customHeight="false" outlineLevel="0" collapsed="false">
      <c r="A295" s="141" t="s">
        <v>969</v>
      </c>
      <c r="B295" s="142" t="s">
        <v>1090</v>
      </c>
      <c r="C295" s="143" t="s">
        <v>1491</v>
      </c>
      <c r="D295" s="144"/>
      <c r="E295" s="144"/>
      <c r="F295" s="144"/>
      <c r="G295" s="145"/>
      <c r="H295" s="146" t="s">
        <v>81</v>
      </c>
      <c r="I295" s="147" t="s">
        <v>88</v>
      </c>
      <c r="J295" s="148" t="s">
        <v>81</v>
      </c>
      <c r="K295" s="149" t="s">
        <v>88</v>
      </c>
      <c r="L295" s="150" t="s">
        <v>1489</v>
      </c>
      <c r="M295" s="150" t="s">
        <v>1490</v>
      </c>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50"/>
      <c r="AM295" s="150"/>
      <c r="AN295" s="150"/>
      <c r="AO295" s="150"/>
      <c r="AP295" s="150"/>
      <c r="AQ295" s="150"/>
      <c r="AR295" s="150"/>
      <c r="AS295" s="150"/>
      <c r="AT295" s="150"/>
      <c r="AU295" s="150"/>
      <c r="AV295" s="150"/>
      <c r="AW295" s="150"/>
      <c r="AX295" s="150"/>
      <c r="AY295" s="151"/>
      <c r="AZ295" s="151"/>
      <c r="BA295" s="151"/>
      <c r="BB295" s="151"/>
      <c r="BC295" s="151"/>
      <c r="BD295" s="151"/>
      <c r="BE295" s="151"/>
      <c r="BF295" s="151"/>
      <c r="BG295" s="151"/>
      <c r="BH295" s="151"/>
      <c r="BI295" s="151"/>
      <c r="BJ295" s="151"/>
      <c r="BK295" s="151"/>
      <c r="BL295" s="151"/>
      <c r="BM295" s="151"/>
      <c r="BN295" s="151"/>
      <c r="BO295" s="151"/>
      <c r="BP295" s="151"/>
      <c r="BQ295" s="151"/>
      <c r="BR295" s="151"/>
    </row>
    <row r="296" s="75" customFormat="true" ht="15" hidden="false" customHeight="false" outlineLevel="0" collapsed="false">
      <c r="A296" s="141" t="s">
        <v>971</v>
      </c>
      <c r="B296" s="142" t="s">
        <v>1090</v>
      </c>
      <c r="C296" s="143" t="s">
        <v>1492</v>
      </c>
      <c r="D296" s="144"/>
      <c r="E296" s="144"/>
      <c r="F296" s="144"/>
      <c r="G296" s="145"/>
      <c r="H296" s="146" t="s">
        <v>81</v>
      </c>
      <c r="I296" s="147" t="s">
        <v>88</v>
      </c>
      <c r="J296" s="148" t="s">
        <v>81</v>
      </c>
      <c r="K296" s="149" t="s">
        <v>88</v>
      </c>
      <c r="L296" s="150" t="s">
        <v>1489</v>
      </c>
      <c r="M296" s="150" t="s">
        <v>1490</v>
      </c>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50"/>
      <c r="AM296" s="150"/>
      <c r="AN296" s="150"/>
      <c r="AO296" s="150"/>
      <c r="AP296" s="150"/>
      <c r="AQ296" s="150"/>
      <c r="AR296" s="150"/>
      <c r="AS296" s="150"/>
      <c r="AT296" s="150"/>
      <c r="AU296" s="150"/>
      <c r="AV296" s="150"/>
      <c r="AW296" s="150"/>
      <c r="AX296" s="150"/>
      <c r="AY296" s="151"/>
      <c r="AZ296" s="151"/>
      <c r="BA296" s="151"/>
      <c r="BB296" s="151"/>
      <c r="BC296" s="151"/>
      <c r="BD296" s="151"/>
      <c r="BE296" s="151"/>
      <c r="BF296" s="151"/>
      <c r="BG296" s="151"/>
      <c r="BH296" s="151"/>
      <c r="BI296" s="151"/>
      <c r="BJ296" s="151"/>
      <c r="BK296" s="151"/>
      <c r="BL296" s="151"/>
      <c r="BM296" s="151"/>
      <c r="BN296" s="151"/>
      <c r="BO296" s="151"/>
      <c r="BP296" s="151"/>
      <c r="BQ296" s="151"/>
      <c r="BR296" s="151"/>
    </row>
    <row r="297" s="75" customFormat="true" ht="15" hidden="false" customHeight="false" outlineLevel="0" collapsed="false">
      <c r="A297" s="141"/>
      <c r="B297" s="142"/>
      <c r="C297" s="143"/>
      <c r="D297" s="144"/>
      <c r="E297" s="144"/>
      <c r="F297" s="144"/>
      <c r="G297" s="145"/>
      <c r="H297" s="146"/>
      <c r="I297" s="147"/>
      <c r="J297" s="148"/>
      <c r="K297" s="149"/>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50"/>
      <c r="AM297" s="150"/>
      <c r="AN297" s="150"/>
      <c r="AO297" s="150"/>
      <c r="AP297" s="150"/>
      <c r="AQ297" s="150"/>
      <c r="AR297" s="150"/>
      <c r="AS297" s="150"/>
      <c r="AT297" s="150"/>
      <c r="AU297" s="150"/>
      <c r="AV297" s="150"/>
      <c r="AW297" s="150"/>
      <c r="AX297" s="150"/>
      <c r="AY297" s="151"/>
      <c r="AZ297" s="151"/>
      <c r="BA297" s="151"/>
      <c r="BB297" s="151"/>
      <c r="BC297" s="151"/>
      <c r="BD297" s="151"/>
      <c r="BE297" s="151"/>
      <c r="BF297" s="151"/>
      <c r="BG297" s="151"/>
      <c r="BH297" s="151"/>
      <c r="BI297" s="151"/>
      <c r="BJ297" s="151"/>
      <c r="BK297" s="151"/>
      <c r="BL297" s="151"/>
      <c r="BM297" s="151"/>
      <c r="BN297" s="151"/>
      <c r="BO297" s="151"/>
      <c r="BP297" s="151"/>
      <c r="BQ297" s="151"/>
      <c r="BR297" s="151"/>
    </row>
    <row r="298" s="75" customFormat="true" ht="30" hidden="false" customHeight="false" outlineLevel="0" collapsed="false">
      <c r="A298" s="141" t="s">
        <v>973</v>
      </c>
      <c r="B298" s="142" t="s">
        <v>1152</v>
      </c>
      <c r="C298" s="143" t="s">
        <v>1493</v>
      </c>
      <c r="D298" s="144" t="s">
        <v>1153</v>
      </c>
      <c r="E298" s="144" t="s">
        <v>1153</v>
      </c>
      <c r="F298" s="144" t="s">
        <v>1089</v>
      </c>
      <c r="G298" s="145" t="s">
        <v>1153</v>
      </c>
      <c r="H298" s="146" t="s">
        <v>81</v>
      </c>
      <c r="I298" s="147" t="s">
        <v>82</v>
      </c>
      <c r="J298" s="148" t="s">
        <v>81</v>
      </c>
      <c r="K298" s="149" t="s">
        <v>82</v>
      </c>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50"/>
      <c r="AM298" s="150"/>
      <c r="AN298" s="150"/>
      <c r="AO298" s="150"/>
      <c r="AP298" s="150"/>
      <c r="AQ298" s="150"/>
      <c r="AR298" s="150"/>
      <c r="AS298" s="150"/>
      <c r="AT298" s="150"/>
      <c r="AU298" s="150"/>
      <c r="AV298" s="150"/>
      <c r="AW298" s="150"/>
      <c r="AX298" s="150"/>
      <c r="AY298" s="151"/>
      <c r="AZ298" s="151"/>
      <c r="BA298" s="151"/>
      <c r="BB298" s="151"/>
      <c r="BC298" s="151"/>
      <c r="BD298" s="151"/>
      <c r="BE298" s="151"/>
      <c r="BF298" s="151"/>
      <c r="BG298" s="151"/>
      <c r="BH298" s="151"/>
      <c r="BI298" s="151"/>
      <c r="BJ298" s="151"/>
      <c r="BK298" s="151"/>
      <c r="BL298" s="151"/>
      <c r="BM298" s="151"/>
      <c r="BN298" s="151"/>
      <c r="BO298" s="151"/>
      <c r="BP298" s="151"/>
      <c r="BQ298" s="151"/>
      <c r="BR298" s="151"/>
    </row>
    <row r="299" s="75" customFormat="true" ht="30" hidden="false" customHeight="false" outlineLevel="0" collapsed="false">
      <c r="A299" s="141" t="s">
        <v>975</v>
      </c>
      <c r="B299" s="142" t="s">
        <v>1152</v>
      </c>
      <c r="C299" s="143" t="s">
        <v>976</v>
      </c>
      <c r="D299" s="144" t="s">
        <v>1153</v>
      </c>
      <c r="E299" s="144" t="s">
        <v>1153</v>
      </c>
      <c r="F299" s="144" t="s">
        <v>1089</v>
      </c>
      <c r="G299" s="145" t="s">
        <v>1153</v>
      </c>
      <c r="H299" s="146" t="s">
        <v>81</v>
      </c>
      <c r="I299" s="147" t="s">
        <v>82</v>
      </c>
      <c r="J299" s="148" t="s">
        <v>81</v>
      </c>
      <c r="K299" s="149" t="s">
        <v>82</v>
      </c>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50"/>
      <c r="AM299" s="150"/>
      <c r="AN299" s="150"/>
      <c r="AO299" s="150"/>
      <c r="AP299" s="150"/>
      <c r="AQ299" s="150"/>
      <c r="AR299" s="150"/>
      <c r="AS299" s="150"/>
      <c r="AT299" s="150"/>
      <c r="AU299" s="150"/>
      <c r="AV299" s="150"/>
      <c r="AW299" s="150"/>
      <c r="AX299" s="150"/>
      <c r="AY299" s="151"/>
      <c r="AZ299" s="151"/>
      <c r="BA299" s="151"/>
      <c r="BB299" s="151"/>
      <c r="BC299" s="151"/>
      <c r="BD299" s="151"/>
      <c r="BE299" s="151"/>
      <c r="BF299" s="151"/>
      <c r="BG299" s="151"/>
      <c r="BH299" s="151"/>
      <c r="BI299" s="151"/>
      <c r="BJ299" s="151"/>
      <c r="BK299" s="151"/>
      <c r="BL299" s="151"/>
      <c r="BM299" s="151"/>
      <c r="BN299" s="151"/>
      <c r="BO299" s="151"/>
      <c r="BP299" s="151"/>
      <c r="BQ299" s="151"/>
      <c r="BR299" s="151"/>
    </row>
    <row r="300" s="75" customFormat="true" ht="15" hidden="false" customHeight="false" outlineLevel="0" collapsed="false">
      <c r="A300" s="141"/>
      <c r="B300" s="142"/>
      <c r="C300" s="143"/>
      <c r="D300" s="144"/>
      <c r="E300" s="144"/>
      <c r="F300" s="144"/>
      <c r="G300" s="145"/>
      <c r="H300" s="146"/>
      <c r="I300" s="147"/>
      <c r="J300" s="148"/>
      <c r="K300" s="149"/>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50"/>
      <c r="AM300" s="150"/>
      <c r="AN300" s="150"/>
      <c r="AO300" s="150"/>
      <c r="AP300" s="150"/>
      <c r="AQ300" s="150"/>
      <c r="AR300" s="150"/>
      <c r="AS300" s="150"/>
      <c r="AT300" s="150"/>
      <c r="AU300" s="150"/>
      <c r="AV300" s="150"/>
      <c r="AW300" s="150"/>
      <c r="AX300" s="150"/>
      <c r="AY300" s="151"/>
      <c r="AZ300" s="151"/>
      <c r="BA300" s="151"/>
      <c r="BB300" s="151"/>
      <c r="BC300" s="151"/>
      <c r="BD300" s="151"/>
      <c r="BE300" s="151"/>
      <c r="BF300" s="151"/>
      <c r="BG300" s="151"/>
      <c r="BH300" s="151"/>
      <c r="BI300" s="151"/>
      <c r="BJ300" s="151"/>
      <c r="BK300" s="151"/>
      <c r="BL300" s="151"/>
      <c r="BM300" s="151"/>
      <c r="BN300" s="151"/>
      <c r="BO300" s="151"/>
      <c r="BP300" s="151"/>
      <c r="BQ300" s="151"/>
      <c r="BR300" s="151"/>
    </row>
    <row r="301" s="75" customFormat="true" ht="30" hidden="false" customHeight="false" outlineLevel="0" collapsed="false">
      <c r="A301" s="141" t="s">
        <v>986</v>
      </c>
      <c r="B301" s="142" t="s">
        <v>1152</v>
      </c>
      <c r="C301" s="143" t="s">
        <v>1494</v>
      </c>
      <c r="D301" s="144" t="s">
        <v>1153</v>
      </c>
      <c r="E301" s="144" t="s">
        <v>1153</v>
      </c>
      <c r="F301" s="144" t="s">
        <v>1089</v>
      </c>
      <c r="G301" s="145" t="s">
        <v>1153</v>
      </c>
      <c r="H301" s="146" t="s">
        <v>478</v>
      </c>
      <c r="I301" s="147" t="s">
        <v>82</v>
      </c>
      <c r="J301" s="148" t="s">
        <v>478</v>
      </c>
      <c r="K301" s="149" t="s">
        <v>82</v>
      </c>
      <c r="L301" s="150" t="s">
        <v>1239</v>
      </c>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50"/>
      <c r="AM301" s="150"/>
      <c r="AN301" s="150"/>
      <c r="AO301" s="150"/>
      <c r="AP301" s="150"/>
      <c r="AQ301" s="150"/>
      <c r="AR301" s="150"/>
      <c r="AS301" s="150"/>
      <c r="AT301" s="150"/>
      <c r="AU301" s="150"/>
      <c r="AV301" s="150"/>
      <c r="AW301" s="150"/>
      <c r="AX301" s="150"/>
      <c r="AY301" s="151"/>
      <c r="AZ301" s="151"/>
      <c r="BA301" s="151"/>
      <c r="BB301" s="151"/>
      <c r="BC301" s="151"/>
      <c r="BD301" s="151"/>
      <c r="BE301" s="151"/>
      <c r="BF301" s="151"/>
      <c r="BG301" s="151"/>
      <c r="BH301" s="151"/>
      <c r="BI301" s="151"/>
      <c r="BJ301" s="151"/>
      <c r="BK301" s="151"/>
      <c r="BL301" s="151"/>
      <c r="BM301" s="151"/>
      <c r="BN301" s="151"/>
      <c r="BO301" s="151"/>
      <c r="BP301" s="151"/>
      <c r="BQ301" s="151"/>
      <c r="BR301" s="151"/>
    </row>
    <row r="302" s="75" customFormat="true" ht="30" hidden="false" customHeight="false" outlineLevel="0" collapsed="false">
      <c r="A302" s="141" t="s">
        <v>991</v>
      </c>
      <c r="B302" s="142" t="s">
        <v>1152</v>
      </c>
      <c r="C302" s="143" t="s">
        <v>1495</v>
      </c>
      <c r="D302" s="144" t="s">
        <v>1153</v>
      </c>
      <c r="E302" s="144" t="s">
        <v>1153</v>
      </c>
      <c r="F302" s="144" t="s">
        <v>1089</v>
      </c>
      <c r="G302" s="145" t="s">
        <v>1153</v>
      </c>
      <c r="H302" s="146" t="s">
        <v>478</v>
      </c>
      <c r="I302" s="147" t="s">
        <v>82</v>
      </c>
      <c r="J302" s="148" t="s">
        <v>478</v>
      </c>
      <c r="K302" s="149" t="s">
        <v>82</v>
      </c>
      <c r="L302" s="150" t="s">
        <v>1239</v>
      </c>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50"/>
      <c r="AM302" s="150"/>
      <c r="AN302" s="150"/>
      <c r="AO302" s="150"/>
      <c r="AP302" s="150"/>
      <c r="AQ302" s="150"/>
      <c r="AR302" s="150"/>
      <c r="AS302" s="150"/>
      <c r="AT302" s="150"/>
      <c r="AU302" s="150"/>
      <c r="AV302" s="150"/>
      <c r="AW302" s="150"/>
      <c r="AX302" s="150"/>
      <c r="AY302" s="151"/>
      <c r="AZ302" s="151"/>
      <c r="BA302" s="151"/>
      <c r="BB302" s="151"/>
      <c r="BC302" s="151"/>
      <c r="BD302" s="151"/>
      <c r="BE302" s="151"/>
      <c r="BF302" s="151"/>
      <c r="BG302" s="151"/>
      <c r="BH302" s="151"/>
      <c r="BI302" s="151"/>
      <c r="BJ302" s="151"/>
      <c r="BK302" s="151"/>
      <c r="BL302" s="151"/>
      <c r="BM302" s="151"/>
      <c r="BN302" s="151"/>
      <c r="BO302" s="151"/>
      <c r="BP302" s="151"/>
      <c r="BQ302" s="151"/>
      <c r="BR302" s="151"/>
    </row>
    <row r="303" s="75" customFormat="true" ht="15" hidden="false" customHeight="false" outlineLevel="0" collapsed="false">
      <c r="A303" s="141"/>
      <c r="B303" s="142"/>
      <c r="C303" s="143"/>
      <c r="D303" s="144"/>
      <c r="E303" s="144"/>
      <c r="F303" s="144"/>
      <c r="G303" s="145"/>
      <c r="H303" s="146"/>
      <c r="I303" s="147"/>
      <c r="J303" s="148"/>
      <c r="K303" s="149"/>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50"/>
      <c r="AM303" s="150"/>
      <c r="AN303" s="150"/>
      <c r="AO303" s="150"/>
      <c r="AP303" s="150"/>
      <c r="AQ303" s="150"/>
      <c r="AR303" s="150"/>
      <c r="AS303" s="150"/>
      <c r="AT303" s="150"/>
      <c r="AU303" s="150"/>
      <c r="AV303" s="150"/>
      <c r="AW303" s="150"/>
      <c r="AX303" s="150"/>
      <c r="AY303" s="151"/>
      <c r="AZ303" s="151"/>
      <c r="BA303" s="151"/>
      <c r="BB303" s="151"/>
      <c r="BC303" s="151"/>
      <c r="BD303" s="151"/>
      <c r="BE303" s="151"/>
      <c r="BF303" s="151"/>
      <c r="BG303" s="151"/>
      <c r="BH303" s="151"/>
      <c r="BI303" s="151"/>
      <c r="BJ303" s="151"/>
      <c r="BK303" s="151"/>
      <c r="BL303" s="151"/>
      <c r="BM303" s="151"/>
      <c r="BN303" s="151"/>
      <c r="BO303" s="151"/>
      <c r="BP303" s="151"/>
      <c r="BQ303" s="151"/>
      <c r="BR303" s="151"/>
    </row>
    <row r="304" s="75" customFormat="true" ht="30" hidden="false" customHeight="false" outlineLevel="0" collapsed="false">
      <c r="A304" s="141" t="s">
        <v>993</v>
      </c>
      <c r="B304" s="142" t="s">
        <v>1152</v>
      </c>
      <c r="C304" s="143" t="s">
        <v>1496</v>
      </c>
      <c r="D304" s="144" t="s">
        <v>1153</v>
      </c>
      <c r="E304" s="144" t="s">
        <v>1153</v>
      </c>
      <c r="F304" s="144" t="s">
        <v>1089</v>
      </c>
      <c r="G304" s="145" t="s">
        <v>1153</v>
      </c>
      <c r="H304" s="146" t="s">
        <v>478</v>
      </c>
      <c r="I304" s="147" t="s">
        <v>82</v>
      </c>
      <c r="J304" s="148" t="s">
        <v>478</v>
      </c>
      <c r="K304" s="149" t="s">
        <v>82</v>
      </c>
      <c r="L304" s="150" t="s">
        <v>1239</v>
      </c>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50"/>
      <c r="AM304" s="150"/>
      <c r="AN304" s="150"/>
      <c r="AO304" s="150"/>
      <c r="AP304" s="150"/>
      <c r="AQ304" s="150"/>
      <c r="AR304" s="150"/>
      <c r="AS304" s="150"/>
      <c r="AT304" s="150"/>
      <c r="AU304" s="150"/>
      <c r="AV304" s="150"/>
      <c r="AW304" s="150"/>
      <c r="AX304" s="150"/>
      <c r="AY304" s="151"/>
      <c r="AZ304" s="151"/>
      <c r="BA304" s="151"/>
      <c r="BB304" s="151"/>
      <c r="BC304" s="151"/>
      <c r="BD304" s="151"/>
      <c r="BE304" s="151"/>
      <c r="BF304" s="151"/>
      <c r="BG304" s="151"/>
      <c r="BH304" s="151"/>
      <c r="BI304" s="151"/>
      <c r="BJ304" s="151"/>
      <c r="BK304" s="151"/>
      <c r="BL304" s="151"/>
      <c r="BM304" s="151"/>
      <c r="BN304" s="151"/>
      <c r="BO304" s="151"/>
      <c r="BP304" s="151"/>
      <c r="BQ304" s="151"/>
      <c r="BR304" s="151"/>
    </row>
    <row r="305" s="75" customFormat="true" ht="15" hidden="false" customHeight="false" outlineLevel="0" collapsed="false">
      <c r="A305" s="141"/>
      <c r="B305" s="142"/>
      <c r="C305" s="143"/>
      <c r="D305" s="144"/>
      <c r="E305" s="144"/>
      <c r="F305" s="144"/>
      <c r="G305" s="145"/>
      <c r="H305" s="146"/>
      <c r="I305" s="147"/>
      <c r="J305" s="148"/>
      <c r="K305" s="149"/>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50"/>
      <c r="AM305" s="150"/>
      <c r="AN305" s="150"/>
      <c r="AO305" s="150"/>
      <c r="AP305" s="150"/>
      <c r="AQ305" s="150"/>
      <c r="AR305" s="150"/>
      <c r="AS305" s="150"/>
      <c r="AT305" s="150"/>
      <c r="AU305" s="150"/>
      <c r="AV305" s="150"/>
      <c r="AW305" s="150"/>
      <c r="AX305" s="150"/>
      <c r="AY305" s="151"/>
      <c r="AZ305" s="151"/>
      <c r="BA305" s="151"/>
      <c r="BB305" s="151"/>
      <c r="BC305" s="151"/>
      <c r="BD305" s="151"/>
      <c r="BE305" s="151"/>
      <c r="BF305" s="151"/>
      <c r="BG305" s="151"/>
      <c r="BH305" s="151"/>
      <c r="BI305" s="151"/>
      <c r="BJ305" s="151"/>
      <c r="BK305" s="151"/>
      <c r="BL305" s="151"/>
      <c r="BM305" s="151"/>
      <c r="BN305" s="151"/>
      <c r="BO305" s="151"/>
      <c r="BP305" s="151"/>
      <c r="BQ305" s="151"/>
      <c r="BR305" s="151"/>
    </row>
    <row r="306" s="140" customFormat="true" ht="30" hidden="false" customHeight="false" outlineLevel="0" collapsed="false">
      <c r="A306" s="129" t="s">
        <v>998</v>
      </c>
      <c r="B306" s="130" t="s">
        <v>1090</v>
      </c>
      <c r="C306" s="131" t="s">
        <v>1497</v>
      </c>
      <c r="D306" s="132"/>
      <c r="E306" s="132"/>
      <c r="F306" s="132"/>
      <c r="G306" s="133"/>
      <c r="H306" s="134" t="s">
        <v>81</v>
      </c>
      <c r="I306" s="135" t="s">
        <v>88</v>
      </c>
      <c r="J306" s="136" t="s">
        <v>81</v>
      </c>
      <c r="K306" s="137" t="s">
        <v>88</v>
      </c>
      <c r="L306" s="138" t="s">
        <v>1498</v>
      </c>
      <c r="M306" s="138" t="s">
        <v>1499</v>
      </c>
      <c r="N306" s="138" t="s">
        <v>1500</v>
      </c>
      <c r="O306" s="138" t="s">
        <v>1501</v>
      </c>
      <c r="P306" s="138"/>
      <c r="Q306" s="138"/>
      <c r="R306" s="138"/>
      <c r="S306" s="138"/>
      <c r="T306" s="138"/>
      <c r="U306" s="138"/>
      <c r="V306" s="138"/>
      <c r="W306" s="138"/>
      <c r="X306" s="138"/>
      <c r="Y306" s="138"/>
      <c r="Z306" s="138"/>
      <c r="AA306" s="138"/>
      <c r="AB306" s="138"/>
      <c r="AC306" s="138"/>
      <c r="AD306" s="138"/>
      <c r="AE306" s="138"/>
      <c r="AF306" s="138"/>
      <c r="AG306" s="138"/>
      <c r="AH306" s="138"/>
      <c r="AI306" s="138"/>
      <c r="AJ306" s="138"/>
      <c r="AK306" s="138"/>
      <c r="AL306" s="138"/>
      <c r="AM306" s="138"/>
      <c r="AN306" s="138"/>
      <c r="AO306" s="138"/>
      <c r="AP306" s="138"/>
      <c r="AQ306" s="138"/>
      <c r="AR306" s="138"/>
      <c r="AS306" s="138"/>
      <c r="AT306" s="138"/>
      <c r="AU306" s="138"/>
      <c r="AV306" s="138"/>
      <c r="AW306" s="138"/>
      <c r="AX306" s="138"/>
      <c r="AY306" s="139"/>
      <c r="AZ306" s="139"/>
      <c r="BA306" s="139"/>
      <c r="BB306" s="139"/>
      <c r="BC306" s="139"/>
      <c r="BD306" s="139"/>
      <c r="BE306" s="139"/>
      <c r="BF306" s="139"/>
      <c r="BG306" s="139"/>
      <c r="BH306" s="139"/>
      <c r="BI306" s="139"/>
      <c r="BJ306" s="139"/>
      <c r="BK306" s="139"/>
      <c r="BL306" s="139"/>
      <c r="BM306" s="139"/>
      <c r="BN306" s="139"/>
      <c r="BO306" s="139"/>
      <c r="BP306" s="139"/>
      <c r="BQ306" s="139"/>
      <c r="BR306" s="139"/>
    </row>
    <row r="307" s="75" customFormat="true" ht="15" hidden="false" customHeight="false" outlineLevel="0" collapsed="false">
      <c r="A307" s="141"/>
      <c r="B307" s="142"/>
      <c r="C307" s="143"/>
      <c r="D307" s="144"/>
      <c r="E307" s="144"/>
      <c r="F307" s="144"/>
      <c r="G307" s="145"/>
      <c r="H307" s="146"/>
      <c r="I307" s="147"/>
      <c r="J307" s="148"/>
      <c r="K307" s="149"/>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50"/>
      <c r="AM307" s="150"/>
      <c r="AN307" s="150"/>
      <c r="AO307" s="150"/>
      <c r="AP307" s="150"/>
      <c r="AQ307" s="150"/>
      <c r="AR307" s="150"/>
      <c r="AS307" s="150"/>
      <c r="AT307" s="150"/>
      <c r="AU307" s="150"/>
      <c r="AV307" s="150"/>
      <c r="AW307" s="150"/>
      <c r="AX307" s="150"/>
      <c r="AY307" s="151"/>
      <c r="AZ307" s="151"/>
      <c r="BA307" s="151"/>
      <c r="BB307" s="151"/>
      <c r="BC307" s="151"/>
      <c r="BD307" s="151"/>
      <c r="BE307" s="151"/>
      <c r="BF307" s="151"/>
      <c r="BG307" s="151"/>
      <c r="BH307" s="151"/>
      <c r="BI307" s="151"/>
      <c r="BJ307" s="151"/>
      <c r="BK307" s="151"/>
      <c r="BL307" s="151"/>
      <c r="BM307" s="151"/>
      <c r="BN307" s="151"/>
      <c r="BO307" s="151"/>
      <c r="BP307" s="151"/>
      <c r="BQ307" s="151"/>
      <c r="BR307" s="151"/>
    </row>
    <row r="308" s="75" customFormat="true" ht="15" hidden="false" customHeight="false" outlineLevel="0" collapsed="false">
      <c r="A308" s="141" t="s">
        <v>1018</v>
      </c>
      <c r="B308" s="142" t="s">
        <v>1152</v>
      </c>
      <c r="C308" s="143" t="s">
        <v>1502</v>
      </c>
      <c r="D308" s="144" t="s">
        <v>1153</v>
      </c>
      <c r="E308" s="144" t="s">
        <v>1153</v>
      </c>
      <c r="F308" s="144" t="s">
        <v>1089</v>
      </c>
      <c r="G308" s="145" t="s">
        <v>1153</v>
      </c>
      <c r="H308" s="146" t="s">
        <v>81</v>
      </c>
      <c r="I308" s="147" t="s">
        <v>82</v>
      </c>
      <c r="J308" s="148" t="s">
        <v>81</v>
      </c>
      <c r="K308" s="149" t="s">
        <v>82</v>
      </c>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50"/>
      <c r="AM308" s="150"/>
      <c r="AN308" s="150"/>
      <c r="AO308" s="150"/>
      <c r="AP308" s="150"/>
      <c r="AQ308" s="150"/>
      <c r="AR308" s="150"/>
      <c r="AS308" s="150"/>
      <c r="AT308" s="150"/>
      <c r="AU308" s="150"/>
      <c r="AV308" s="150"/>
      <c r="AW308" s="150"/>
      <c r="AX308" s="150"/>
      <c r="AY308" s="151"/>
      <c r="AZ308" s="151"/>
      <c r="BA308" s="151"/>
      <c r="BB308" s="151"/>
      <c r="BC308" s="151"/>
      <c r="BD308" s="151"/>
      <c r="BE308" s="151"/>
      <c r="BF308" s="151"/>
      <c r="BG308" s="151"/>
      <c r="BH308" s="151"/>
      <c r="BI308" s="151"/>
      <c r="BJ308" s="151"/>
      <c r="BK308" s="151"/>
      <c r="BL308" s="151"/>
      <c r="BM308" s="151"/>
      <c r="BN308" s="151"/>
      <c r="BO308" s="151"/>
      <c r="BP308" s="151"/>
      <c r="BQ308" s="151"/>
      <c r="BR308" s="151"/>
    </row>
    <row r="309" s="75" customFormat="true" ht="15" hidden="false" customHeight="false" outlineLevel="0" collapsed="false">
      <c r="A309" s="141"/>
      <c r="B309" s="142"/>
      <c r="C309" s="143"/>
      <c r="D309" s="144"/>
      <c r="E309" s="144"/>
      <c r="F309" s="144"/>
      <c r="G309" s="145"/>
      <c r="H309" s="146"/>
      <c r="I309" s="147"/>
      <c r="J309" s="148"/>
      <c r="K309" s="149"/>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50"/>
      <c r="AM309" s="150"/>
      <c r="AN309" s="150"/>
      <c r="AO309" s="150"/>
      <c r="AP309" s="150"/>
      <c r="AQ309" s="150"/>
      <c r="AR309" s="150"/>
      <c r="AS309" s="150"/>
      <c r="AT309" s="150"/>
      <c r="AU309" s="150"/>
      <c r="AV309" s="150"/>
      <c r="AW309" s="150"/>
      <c r="AX309" s="150"/>
      <c r="AY309" s="151"/>
      <c r="AZ309" s="151"/>
      <c r="BA309" s="151"/>
      <c r="BB309" s="151"/>
      <c r="BC309" s="151"/>
      <c r="BD309" s="151"/>
      <c r="BE309" s="151"/>
      <c r="BF309" s="151"/>
      <c r="BG309" s="151"/>
      <c r="BH309" s="151"/>
      <c r="BI309" s="151"/>
      <c r="BJ309" s="151"/>
      <c r="BK309" s="151"/>
      <c r="BL309" s="151"/>
      <c r="BM309" s="151"/>
      <c r="BN309" s="151"/>
      <c r="BO309" s="151"/>
      <c r="BP309" s="151"/>
      <c r="BQ309" s="151"/>
      <c r="BR309" s="151"/>
    </row>
    <row r="310" s="75" customFormat="true" ht="30" hidden="false" customHeight="false" outlineLevel="0" collapsed="false">
      <c r="A310" s="141" t="s">
        <v>1020</v>
      </c>
      <c r="B310" s="142" t="s">
        <v>1152</v>
      </c>
      <c r="C310" s="143" t="s">
        <v>1503</v>
      </c>
      <c r="D310" s="144" t="s">
        <v>1153</v>
      </c>
      <c r="E310" s="144" t="s">
        <v>1153</v>
      </c>
      <c r="F310" s="144" t="s">
        <v>1089</v>
      </c>
      <c r="G310" s="145" t="s">
        <v>1153</v>
      </c>
      <c r="H310" s="146" t="s">
        <v>1022</v>
      </c>
      <c r="I310" s="147" t="s">
        <v>82</v>
      </c>
      <c r="J310" s="148" t="s">
        <v>1022</v>
      </c>
      <c r="K310" s="149" t="s">
        <v>82</v>
      </c>
      <c r="L310" s="150" t="s">
        <v>1155</v>
      </c>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50"/>
      <c r="AM310" s="150"/>
      <c r="AN310" s="150"/>
      <c r="AO310" s="150"/>
      <c r="AP310" s="150"/>
      <c r="AQ310" s="150"/>
      <c r="AR310" s="150"/>
      <c r="AS310" s="150"/>
      <c r="AT310" s="150"/>
      <c r="AU310" s="150"/>
      <c r="AV310" s="150"/>
      <c r="AW310" s="150"/>
      <c r="AX310" s="150"/>
      <c r="AY310" s="151"/>
      <c r="AZ310" s="151"/>
      <c r="BA310" s="151"/>
      <c r="BB310" s="151"/>
      <c r="BC310" s="151"/>
      <c r="BD310" s="151"/>
      <c r="BE310" s="151"/>
      <c r="BF310" s="151"/>
      <c r="BG310" s="151"/>
      <c r="BH310" s="151"/>
      <c r="BI310" s="151"/>
      <c r="BJ310" s="151"/>
      <c r="BK310" s="151"/>
      <c r="BL310" s="151"/>
      <c r="BM310" s="151"/>
      <c r="BN310" s="151"/>
      <c r="BO310" s="151"/>
      <c r="BP310" s="151"/>
      <c r="BQ310" s="151"/>
      <c r="BR310" s="151"/>
    </row>
    <row r="311" s="75" customFormat="true" ht="30" hidden="false" customHeight="false" outlineLevel="0" collapsed="false">
      <c r="A311" s="141" t="s">
        <v>1023</v>
      </c>
      <c r="B311" s="142" t="s">
        <v>1152</v>
      </c>
      <c r="C311" s="143" t="s">
        <v>1024</v>
      </c>
      <c r="D311" s="144" t="s">
        <v>1153</v>
      </c>
      <c r="E311" s="144" t="s">
        <v>1153</v>
      </c>
      <c r="F311" s="144" t="s">
        <v>1089</v>
      </c>
      <c r="G311" s="145" t="s">
        <v>1153</v>
      </c>
      <c r="H311" s="146" t="s">
        <v>1022</v>
      </c>
      <c r="I311" s="147" t="s">
        <v>82</v>
      </c>
      <c r="J311" s="148" t="s">
        <v>1022</v>
      </c>
      <c r="K311" s="149" t="s">
        <v>82</v>
      </c>
      <c r="L311" s="150" t="s">
        <v>1155</v>
      </c>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50"/>
      <c r="AM311" s="150"/>
      <c r="AN311" s="150"/>
      <c r="AO311" s="150"/>
      <c r="AP311" s="150"/>
      <c r="AQ311" s="150"/>
      <c r="AR311" s="150"/>
      <c r="AS311" s="150"/>
      <c r="AT311" s="150"/>
      <c r="AU311" s="150"/>
      <c r="AV311" s="150"/>
      <c r="AW311" s="150"/>
      <c r="AX311" s="150"/>
      <c r="AY311" s="151"/>
      <c r="AZ311" s="151"/>
      <c r="BA311" s="151"/>
      <c r="BB311" s="151"/>
      <c r="BC311" s="151"/>
      <c r="BD311" s="151"/>
      <c r="BE311" s="151"/>
      <c r="BF311" s="151"/>
      <c r="BG311" s="151"/>
      <c r="BH311" s="151"/>
      <c r="BI311" s="151"/>
      <c r="BJ311" s="151"/>
      <c r="BK311" s="151"/>
      <c r="BL311" s="151"/>
      <c r="BM311" s="151"/>
      <c r="BN311" s="151"/>
      <c r="BO311" s="151"/>
      <c r="BP311" s="151"/>
      <c r="BQ311" s="151"/>
      <c r="BR311" s="151"/>
    </row>
    <row r="312" s="75" customFormat="true" ht="15" hidden="false" customHeight="false" outlineLevel="0" collapsed="false">
      <c r="A312" s="141"/>
      <c r="B312" s="142"/>
      <c r="C312" s="143"/>
      <c r="D312" s="144"/>
      <c r="E312" s="144"/>
      <c r="F312" s="144"/>
      <c r="G312" s="145"/>
      <c r="H312" s="146"/>
      <c r="I312" s="147"/>
      <c r="J312" s="148"/>
      <c r="K312" s="149"/>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50"/>
      <c r="AM312" s="150"/>
      <c r="AN312" s="150"/>
      <c r="AO312" s="150"/>
      <c r="AP312" s="150"/>
      <c r="AQ312" s="150"/>
      <c r="AR312" s="150"/>
      <c r="AS312" s="150"/>
      <c r="AT312" s="150"/>
      <c r="AU312" s="150"/>
      <c r="AV312" s="150"/>
      <c r="AW312" s="150"/>
      <c r="AX312" s="150"/>
      <c r="AY312" s="151"/>
      <c r="AZ312" s="151"/>
      <c r="BA312" s="151"/>
      <c r="BB312" s="151"/>
      <c r="BC312" s="151"/>
      <c r="BD312" s="151"/>
      <c r="BE312" s="151"/>
      <c r="BF312" s="151"/>
      <c r="BG312" s="151"/>
      <c r="BH312" s="151"/>
      <c r="BI312" s="151"/>
      <c r="BJ312" s="151"/>
      <c r="BK312" s="151"/>
      <c r="BL312" s="151"/>
      <c r="BM312" s="151"/>
      <c r="BN312" s="151"/>
      <c r="BO312" s="151"/>
      <c r="BP312" s="151"/>
      <c r="BQ312" s="151"/>
      <c r="BR312" s="151"/>
    </row>
    <row r="313" s="140" customFormat="true" ht="15" hidden="false" customHeight="false" outlineLevel="0" collapsed="false">
      <c r="A313" s="129" t="s">
        <v>1025</v>
      </c>
      <c r="B313" s="130" t="s">
        <v>1090</v>
      </c>
      <c r="C313" s="131" t="s">
        <v>1504</v>
      </c>
      <c r="D313" s="132"/>
      <c r="E313" s="132"/>
      <c r="F313" s="132"/>
      <c r="G313" s="133"/>
      <c r="H313" s="134" t="s">
        <v>1099</v>
      </c>
      <c r="I313" s="135" t="s">
        <v>88</v>
      </c>
      <c r="J313" s="136" t="s">
        <v>81</v>
      </c>
      <c r="K313" s="137" t="s">
        <v>88</v>
      </c>
      <c r="L313" s="138" t="s">
        <v>1505</v>
      </c>
      <c r="M313" s="138" t="s">
        <v>1506</v>
      </c>
      <c r="N313" s="138" t="s">
        <v>1507</v>
      </c>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8"/>
      <c r="AJ313" s="138"/>
      <c r="AK313" s="138"/>
      <c r="AL313" s="138"/>
      <c r="AM313" s="138"/>
      <c r="AN313" s="138"/>
      <c r="AO313" s="138"/>
      <c r="AP313" s="138"/>
      <c r="AQ313" s="138"/>
      <c r="AR313" s="138"/>
      <c r="AS313" s="138"/>
      <c r="AT313" s="138"/>
      <c r="AU313" s="138"/>
      <c r="AV313" s="138"/>
      <c r="AW313" s="138"/>
      <c r="AX313" s="138"/>
      <c r="AY313" s="139"/>
      <c r="AZ313" s="139"/>
      <c r="BA313" s="139"/>
      <c r="BB313" s="139"/>
      <c r="BC313" s="139"/>
      <c r="BD313" s="139"/>
      <c r="BE313" s="139"/>
      <c r="BF313" s="139"/>
      <c r="BG313" s="139"/>
      <c r="BH313" s="139"/>
      <c r="BI313" s="139"/>
      <c r="BJ313" s="139"/>
      <c r="BK313" s="139"/>
      <c r="BL313" s="139"/>
      <c r="BM313" s="139"/>
      <c r="BN313" s="139"/>
      <c r="BO313" s="139"/>
      <c r="BP313" s="139"/>
      <c r="BQ313" s="139"/>
      <c r="BR313" s="139"/>
    </row>
    <row r="314" s="75" customFormat="true" ht="15" hidden="false" customHeight="false" outlineLevel="0" collapsed="false">
      <c r="A314" s="141"/>
      <c r="B314" s="142"/>
      <c r="C314" s="143"/>
      <c r="D314" s="144"/>
      <c r="E314" s="144"/>
      <c r="F314" s="144"/>
      <c r="G314" s="145"/>
      <c r="H314" s="146"/>
      <c r="I314" s="147"/>
      <c r="J314" s="148"/>
      <c r="K314" s="149"/>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50"/>
      <c r="AM314" s="150"/>
      <c r="AN314" s="150"/>
      <c r="AO314" s="150"/>
      <c r="AP314" s="150"/>
      <c r="AQ314" s="150"/>
      <c r="AR314" s="150"/>
      <c r="AS314" s="150"/>
      <c r="AT314" s="150"/>
      <c r="AU314" s="150"/>
      <c r="AV314" s="150"/>
      <c r="AW314" s="150"/>
      <c r="AX314" s="150"/>
      <c r="AY314" s="151"/>
      <c r="AZ314" s="151"/>
      <c r="BA314" s="151"/>
      <c r="BB314" s="151"/>
      <c r="BC314" s="151"/>
      <c r="BD314" s="151"/>
      <c r="BE314" s="151"/>
      <c r="BF314" s="151"/>
      <c r="BG314" s="151"/>
      <c r="BH314" s="151"/>
      <c r="BI314" s="151"/>
      <c r="BJ314" s="151"/>
      <c r="BK314" s="151"/>
      <c r="BL314" s="151"/>
      <c r="BM314" s="151"/>
      <c r="BN314" s="151"/>
      <c r="BO314" s="151"/>
      <c r="BP314" s="151"/>
      <c r="BQ314" s="151"/>
      <c r="BR314" s="151"/>
    </row>
    <row r="315" s="140" customFormat="true" ht="15" hidden="false" customHeight="false" outlineLevel="0" collapsed="false">
      <c r="A315" s="129" t="s">
        <v>1029</v>
      </c>
      <c r="B315" s="130" t="s">
        <v>1090</v>
      </c>
      <c r="C315" s="131" t="s">
        <v>1030</v>
      </c>
      <c r="D315" s="132"/>
      <c r="E315" s="132"/>
      <c r="F315" s="132"/>
      <c r="G315" s="133"/>
      <c r="H315" s="134" t="s">
        <v>1099</v>
      </c>
      <c r="I315" s="135" t="s">
        <v>88</v>
      </c>
      <c r="J315" s="136" t="s">
        <v>81</v>
      </c>
      <c r="K315" s="137" t="s">
        <v>88</v>
      </c>
      <c r="L315" s="138" t="s">
        <v>1462</v>
      </c>
      <c r="M315" s="138" t="s">
        <v>1463</v>
      </c>
      <c r="N315" s="138"/>
      <c r="O315" s="138"/>
      <c r="P315" s="138"/>
      <c r="Q315" s="138"/>
      <c r="R315" s="138"/>
      <c r="S315" s="138"/>
      <c r="T315" s="138"/>
      <c r="U315" s="138"/>
      <c r="V315" s="138"/>
      <c r="W315" s="138"/>
      <c r="X315" s="138"/>
      <c r="Y315" s="138"/>
      <c r="Z315" s="138"/>
      <c r="AA315" s="138"/>
      <c r="AB315" s="138"/>
      <c r="AC315" s="138"/>
      <c r="AD315" s="138"/>
      <c r="AE315" s="138"/>
      <c r="AF315" s="138"/>
      <c r="AG315" s="138"/>
      <c r="AH315" s="138"/>
      <c r="AI315" s="138"/>
      <c r="AJ315" s="138"/>
      <c r="AK315" s="138"/>
      <c r="AL315" s="138"/>
      <c r="AM315" s="138"/>
      <c r="AN315" s="138"/>
      <c r="AO315" s="138"/>
      <c r="AP315" s="138"/>
      <c r="AQ315" s="138"/>
      <c r="AR315" s="138"/>
      <c r="AS315" s="138"/>
      <c r="AT315" s="138"/>
      <c r="AU315" s="138"/>
      <c r="AV315" s="138"/>
      <c r="AW315" s="138"/>
      <c r="AX315" s="138"/>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row>
    <row r="316" s="75" customFormat="true" ht="15" hidden="false" customHeight="false" outlineLevel="0" collapsed="false">
      <c r="A316" s="141"/>
      <c r="B316" s="142"/>
      <c r="C316" s="143"/>
      <c r="D316" s="144"/>
      <c r="E316" s="144"/>
      <c r="F316" s="144"/>
      <c r="G316" s="145"/>
      <c r="H316" s="146"/>
      <c r="I316" s="147"/>
      <c r="J316" s="148"/>
      <c r="K316" s="149"/>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50"/>
      <c r="AM316" s="150"/>
      <c r="AN316" s="150"/>
      <c r="AO316" s="150"/>
      <c r="AP316" s="150"/>
      <c r="AQ316" s="150"/>
      <c r="AR316" s="150"/>
      <c r="AS316" s="150"/>
      <c r="AT316" s="150"/>
      <c r="AU316" s="150"/>
      <c r="AV316" s="150"/>
      <c r="AW316" s="150"/>
      <c r="AX316" s="150"/>
      <c r="AY316" s="151"/>
      <c r="AZ316" s="151"/>
      <c r="BA316" s="151"/>
      <c r="BB316" s="151"/>
      <c r="BC316" s="151"/>
      <c r="BD316" s="151"/>
      <c r="BE316" s="151"/>
      <c r="BF316" s="151"/>
      <c r="BG316" s="151"/>
      <c r="BH316" s="151"/>
      <c r="BI316" s="151"/>
      <c r="BJ316" s="151"/>
      <c r="BK316" s="151"/>
      <c r="BL316" s="151"/>
      <c r="BM316" s="151"/>
      <c r="BN316" s="151"/>
      <c r="BO316" s="151"/>
      <c r="BP316" s="151"/>
      <c r="BQ316" s="151"/>
      <c r="BR316" s="151"/>
    </row>
    <row r="317" s="75" customFormat="true" ht="30" hidden="false" customHeight="false" outlineLevel="0" collapsed="false">
      <c r="A317" s="141" t="s">
        <v>1027</v>
      </c>
      <c r="B317" s="142" t="s">
        <v>1090</v>
      </c>
      <c r="C317" s="143" t="s">
        <v>1508</v>
      </c>
      <c r="D317" s="144"/>
      <c r="E317" s="144"/>
      <c r="F317" s="144"/>
      <c r="G317" s="145"/>
      <c r="H317" s="146" t="s">
        <v>81</v>
      </c>
      <c r="I317" s="147" t="s">
        <v>88</v>
      </c>
      <c r="J317" s="148" t="s">
        <v>81</v>
      </c>
      <c r="K317" s="149" t="s">
        <v>88</v>
      </c>
      <c r="L317" s="150" t="s">
        <v>1167</v>
      </c>
      <c r="M317" s="150" t="s">
        <v>1430</v>
      </c>
      <c r="N317" s="150" t="s">
        <v>1169</v>
      </c>
      <c r="O317" s="150" t="s">
        <v>1172</v>
      </c>
      <c r="P317" s="150" t="s">
        <v>1171</v>
      </c>
      <c r="Q317" s="150" t="s">
        <v>1097</v>
      </c>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50"/>
      <c r="AM317" s="150"/>
      <c r="AN317" s="150"/>
      <c r="AO317" s="150"/>
      <c r="AP317" s="150"/>
      <c r="AQ317" s="150"/>
      <c r="AR317" s="150"/>
      <c r="AS317" s="150"/>
      <c r="AT317" s="150"/>
      <c r="AU317" s="150"/>
      <c r="AV317" s="150"/>
      <c r="AW317" s="150"/>
      <c r="AX317" s="150"/>
      <c r="AY317" s="151"/>
      <c r="AZ317" s="151"/>
      <c r="BA317" s="151"/>
      <c r="BB317" s="151"/>
      <c r="BC317" s="151"/>
      <c r="BD317" s="151"/>
      <c r="BE317" s="151"/>
      <c r="BF317" s="151"/>
      <c r="BG317" s="151"/>
      <c r="BH317" s="151"/>
      <c r="BI317" s="151"/>
      <c r="BJ317" s="151"/>
      <c r="BK317" s="151"/>
      <c r="BL317" s="151"/>
      <c r="BM317" s="151"/>
      <c r="BN317" s="151"/>
      <c r="BO317" s="151"/>
      <c r="BP317" s="151"/>
      <c r="BQ317" s="151"/>
      <c r="BR317" s="151"/>
    </row>
    <row r="318" s="75" customFormat="true" ht="15" hidden="false" customHeight="false" outlineLevel="0" collapsed="false">
      <c r="A318" s="141"/>
      <c r="B318" s="142"/>
      <c r="C318" s="143"/>
      <c r="D318" s="144"/>
      <c r="E318" s="144"/>
      <c r="F318" s="144"/>
      <c r="G318" s="145"/>
      <c r="H318" s="146"/>
      <c r="I318" s="147"/>
      <c r="J318" s="148"/>
      <c r="K318" s="149"/>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50"/>
      <c r="AM318" s="150"/>
      <c r="AN318" s="150"/>
      <c r="AO318" s="150"/>
      <c r="AP318" s="150"/>
      <c r="AQ318" s="150"/>
      <c r="AR318" s="150"/>
      <c r="AS318" s="150"/>
      <c r="AT318" s="150"/>
      <c r="AU318" s="150"/>
      <c r="AV318" s="150"/>
      <c r="AW318" s="150"/>
      <c r="AX318" s="150"/>
      <c r="AY318" s="151"/>
      <c r="AZ318" s="151"/>
      <c r="BA318" s="151"/>
      <c r="BB318" s="151"/>
      <c r="BC318" s="151"/>
      <c r="BD318" s="151"/>
      <c r="BE318" s="151"/>
      <c r="BF318" s="151"/>
      <c r="BG318" s="151"/>
      <c r="BH318" s="151"/>
      <c r="BI318" s="151"/>
      <c r="BJ318" s="151"/>
      <c r="BK318" s="151"/>
      <c r="BL318" s="151"/>
      <c r="BM318" s="151"/>
      <c r="BN318" s="151"/>
      <c r="BO318" s="151"/>
      <c r="BP318" s="151"/>
      <c r="BQ318" s="151"/>
      <c r="BR318" s="151"/>
    </row>
    <row r="319" s="75" customFormat="true" ht="30" hidden="false" customHeight="false" outlineLevel="0" collapsed="false">
      <c r="A319" s="141" t="s">
        <v>1031</v>
      </c>
      <c r="B319" s="142" t="s">
        <v>1152</v>
      </c>
      <c r="C319" s="143" t="s">
        <v>1509</v>
      </c>
      <c r="D319" s="144" t="s">
        <v>1153</v>
      </c>
      <c r="E319" s="144" t="s">
        <v>1153</v>
      </c>
      <c r="F319" s="144" t="s">
        <v>1089</v>
      </c>
      <c r="G319" s="145" t="s">
        <v>1153</v>
      </c>
      <c r="H319" s="146" t="s">
        <v>81</v>
      </c>
      <c r="I319" s="147" t="s">
        <v>82</v>
      </c>
      <c r="J319" s="148" t="s">
        <v>81</v>
      </c>
      <c r="K319" s="149" t="s">
        <v>82</v>
      </c>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50"/>
      <c r="AM319" s="150"/>
      <c r="AN319" s="150"/>
      <c r="AO319" s="150"/>
      <c r="AP319" s="150"/>
      <c r="AQ319" s="150"/>
      <c r="AR319" s="150"/>
      <c r="AS319" s="150"/>
      <c r="AT319" s="150"/>
      <c r="AU319" s="150"/>
      <c r="AV319" s="150"/>
      <c r="AW319" s="150"/>
      <c r="AX319" s="150"/>
      <c r="AY319" s="151"/>
      <c r="AZ319" s="151"/>
      <c r="BA319" s="151"/>
      <c r="BB319" s="151"/>
      <c r="BC319" s="151"/>
      <c r="BD319" s="151"/>
      <c r="BE319" s="151"/>
      <c r="BF319" s="151"/>
      <c r="BG319" s="151"/>
      <c r="BH319" s="151"/>
      <c r="BI319" s="151"/>
      <c r="BJ319" s="151"/>
      <c r="BK319" s="151"/>
      <c r="BL319" s="151"/>
      <c r="BM319" s="151"/>
      <c r="BN319" s="151"/>
      <c r="BO319" s="151"/>
      <c r="BP319" s="151"/>
      <c r="BQ319" s="151"/>
      <c r="BR319" s="151"/>
    </row>
    <row r="320" s="75" customFormat="true" ht="15" hidden="false" customHeight="false" outlineLevel="0" collapsed="false">
      <c r="A320" s="141" t="s">
        <v>1033</v>
      </c>
      <c r="B320" s="142" t="s">
        <v>1152</v>
      </c>
      <c r="C320" s="143" t="s">
        <v>1510</v>
      </c>
      <c r="D320" s="144" t="s">
        <v>1153</v>
      </c>
      <c r="E320" s="144" t="s">
        <v>1153</v>
      </c>
      <c r="F320" s="144" t="s">
        <v>1089</v>
      </c>
      <c r="G320" s="145" t="s">
        <v>1153</v>
      </c>
      <c r="H320" s="146" t="s">
        <v>478</v>
      </c>
      <c r="I320" s="147" t="s">
        <v>82</v>
      </c>
      <c r="J320" s="148" t="s">
        <v>478</v>
      </c>
      <c r="K320" s="149" t="s">
        <v>82</v>
      </c>
      <c r="L320" s="150" t="s">
        <v>1239</v>
      </c>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50"/>
      <c r="AM320" s="150"/>
      <c r="AN320" s="150"/>
      <c r="AO320" s="150"/>
      <c r="AP320" s="150"/>
      <c r="AQ320" s="150"/>
      <c r="AR320" s="150"/>
      <c r="AS320" s="150"/>
      <c r="AT320" s="150"/>
      <c r="AU320" s="150"/>
      <c r="AV320" s="150"/>
      <c r="AW320" s="150"/>
      <c r="AX320" s="150"/>
      <c r="AY320" s="151"/>
      <c r="AZ320" s="151"/>
      <c r="BA320" s="151"/>
      <c r="BB320" s="151"/>
      <c r="BC320" s="151"/>
      <c r="BD320" s="151"/>
      <c r="BE320" s="151"/>
      <c r="BF320" s="151"/>
      <c r="BG320" s="151"/>
      <c r="BH320" s="151"/>
      <c r="BI320" s="151"/>
      <c r="BJ320" s="151"/>
      <c r="BK320" s="151"/>
      <c r="BL320" s="151"/>
      <c r="BM320" s="151"/>
      <c r="BN320" s="151"/>
      <c r="BO320" s="151"/>
      <c r="BP320" s="151"/>
      <c r="BQ320" s="151"/>
      <c r="BR320" s="151"/>
    </row>
    <row r="321" s="75" customFormat="true" ht="15" hidden="false" customHeight="false" outlineLevel="0" collapsed="false">
      <c r="A321" s="141"/>
      <c r="B321" s="142"/>
      <c r="C321" s="143"/>
      <c r="D321" s="144"/>
      <c r="E321" s="144"/>
      <c r="F321" s="144"/>
      <c r="G321" s="145"/>
      <c r="H321" s="146"/>
      <c r="I321" s="147"/>
      <c r="J321" s="148"/>
      <c r="K321" s="149"/>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50"/>
      <c r="AM321" s="150"/>
      <c r="AN321" s="150"/>
      <c r="AO321" s="150"/>
      <c r="AP321" s="150"/>
      <c r="AQ321" s="150"/>
      <c r="AR321" s="150"/>
      <c r="AS321" s="150"/>
      <c r="AT321" s="150"/>
      <c r="AU321" s="150"/>
      <c r="AV321" s="150"/>
      <c r="AW321" s="150"/>
      <c r="AX321" s="150"/>
      <c r="AY321" s="151"/>
      <c r="AZ321" s="151"/>
      <c r="BA321" s="151"/>
      <c r="BB321" s="151"/>
      <c r="BC321" s="151"/>
      <c r="BD321" s="151"/>
      <c r="BE321" s="151"/>
      <c r="BF321" s="151"/>
      <c r="BG321" s="151"/>
      <c r="BH321" s="151"/>
      <c r="BI321" s="151"/>
      <c r="BJ321" s="151"/>
      <c r="BK321" s="151"/>
      <c r="BL321" s="151"/>
      <c r="BM321" s="151"/>
      <c r="BN321" s="151"/>
      <c r="BO321" s="151"/>
      <c r="BP321" s="151"/>
      <c r="BQ321" s="151"/>
      <c r="BR321" s="151"/>
    </row>
    <row r="322" s="75" customFormat="true" ht="30" hidden="false" customHeight="false" outlineLevel="0" collapsed="false">
      <c r="A322" s="141" t="s">
        <v>1035</v>
      </c>
      <c r="B322" s="142" t="s">
        <v>1152</v>
      </c>
      <c r="C322" s="143" t="s">
        <v>1511</v>
      </c>
      <c r="D322" s="144" t="s">
        <v>1153</v>
      </c>
      <c r="E322" s="144" t="s">
        <v>1153</v>
      </c>
      <c r="F322" s="144" t="s">
        <v>1089</v>
      </c>
      <c r="G322" s="145" t="s">
        <v>1153</v>
      </c>
      <c r="H322" s="146" t="s">
        <v>213</v>
      </c>
      <c r="I322" s="147" t="s">
        <v>82</v>
      </c>
      <c r="J322" s="148" t="s">
        <v>213</v>
      </c>
      <c r="K322" s="149" t="s">
        <v>82</v>
      </c>
      <c r="L322" s="150" t="s">
        <v>1512</v>
      </c>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50"/>
      <c r="AM322" s="150"/>
      <c r="AN322" s="150"/>
      <c r="AO322" s="150"/>
      <c r="AP322" s="150"/>
      <c r="AQ322" s="150"/>
      <c r="AR322" s="150"/>
      <c r="AS322" s="150"/>
      <c r="AT322" s="150"/>
      <c r="AU322" s="150"/>
      <c r="AV322" s="150"/>
      <c r="AW322" s="150"/>
      <c r="AX322" s="150"/>
      <c r="AY322" s="151"/>
      <c r="AZ322" s="151"/>
      <c r="BA322" s="151"/>
      <c r="BB322" s="151"/>
      <c r="BC322" s="151"/>
      <c r="BD322" s="151"/>
      <c r="BE322" s="151"/>
      <c r="BF322" s="151"/>
      <c r="BG322" s="151"/>
      <c r="BH322" s="151"/>
      <c r="BI322" s="151"/>
      <c r="BJ322" s="151"/>
      <c r="BK322" s="151"/>
      <c r="BL322" s="151"/>
      <c r="BM322" s="151"/>
      <c r="BN322" s="151"/>
      <c r="BO322" s="151"/>
      <c r="BP322" s="151"/>
      <c r="BQ322" s="151"/>
      <c r="BR322" s="151"/>
    </row>
    <row r="323" s="75" customFormat="true" ht="15" hidden="false" customHeight="false" outlineLevel="0" collapsed="false">
      <c r="A323" s="141"/>
      <c r="B323" s="142"/>
      <c r="C323" s="143"/>
      <c r="D323" s="144"/>
      <c r="E323" s="144"/>
      <c r="F323" s="144"/>
      <c r="G323" s="145"/>
      <c r="H323" s="146"/>
      <c r="I323" s="147"/>
      <c r="J323" s="148"/>
      <c r="K323" s="149"/>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50"/>
      <c r="AM323" s="150"/>
      <c r="AN323" s="150"/>
      <c r="AO323" s="150"/>
      <c r="AP323" s="150"/>
      <c r="AQ323" s="150"/>
      <c r="AR323" s="150"/>
      <c r="AS323" s="150"/>
      <c r="AT323" s="150"/>
      <c r="AU323" s="150"/>
      <c r="AV323" s="150"/>
      <c r="AW323" s="150"/>
      <c r="AX323" s="150"/>
      <c r="AY323" s="151"/>
      <c r="AZ323" s="151"/>
      <c r="BA323" s="151"/>
      <c r="BB323" s="151"/>
      <c r="BC323" s="151"/>
      <c r="BD323" s="151"/>
      <c r="BE323" s="151"/>
      <c r="BF323" s="151"/>
      <c r="BG323" s="151"/>
      <c r="BH323" s="151"/>
      <c r="BI323" s="151"/>
      <c r="BJ323" s="151"/>
      <c r="BK323" s="151"/>
      <c r="BL323" s="151"/>
      <c r="BM323" s="151"/>
      <c r="BN323" s="151"/>
      <c r="BO323" s="151"/>
      <c r="BP323" s="151"/>
      <c r="BQ323" s="151"/>
      <c r="BR323" s="151"/>
    </row>
    <row r="324" s="75" customFormat="true" ht="15" hidden="false" customHeight="false" outlineLevel="0" collapsed="false">
      <c r="A324" s="141" t="s">
        <v>1037</v>
      </c>
      <c r="B324" s="142" t="s">
        <v>1152</v>
      </c>
      <c r="C324" s="143" t="s">
        <v>1513</v>
      </c>
      <c r="D324" s="144" t="s">
        <v>1153</v>
      </c>
      <c r="E324" s="144" t="s">
        <v>1153</v>
      </c>
      <c r="F324" s="144" t="s">
        <v>1089</v>
      </c>
      <c r="G324" s="145" t="s">
        <v>1153</v>
      </c>
      <c r="H324" s="146" t="s">
        <v>478</v>
      </c>
      <c r="I324" s="147" t="s">
        <v>82</v>
      </c>
      <c r="J324" s="148" t="s">
        <v>478</v>
      </c>
      <c r="K324" s="149" t="s">
        <v>82</v>
      </c>
      <c r="L324" s="150" t="s">
        <v>1514</v>
      </c>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1"/>
      <c r="AZ324" s="151"/>
      <c r="BA324" s="151"/>
      <c r="BB324" s="151"/>
      <c r="BC324" s="151"/>
      <c r="BD324" s="151"/>
      <c r="BE324" s="151"/>
      <c r="BF324" s="151"/>
      <c r="BG324" s="151"/>
      <c r="BH324" s="151"/>
      <c r="BI324" s="151"/>
      <c r="BJ324" s="151"/>
      <c r="BK324" s="151"/>
      <c r="BL324" s="151"/>
      <c r="BM324" s="151"/>
      <c r="BN324" s="151"/>
      <c r="BO324" s="151"/>
      <c r="BP324" s="151"/>
      <c r="BQ324" s="151"/>
      <c r="BR324" s="151"/>
    </row>
    <row r="325" s="75" customFormat="true" ht="30" hidden="false" customHeight="false" outlineLevel="0" collapsed="false">
      <c r="A325" s="141" t="s">
        <v>1039</v>
      </c>
      <c r="B325" s="142" t="s">
        <v>1152</v>
      </c>
      <c r="C325" s="143" t="s">
        <v>1515</v>
      </c>
      <c r="D325" s="144" t="s">
        <v>1153</v>
      </c>
      <c r="E325" s="144" t="s">
        <v>1153</v>
      </c>
      <c r="F325" s="144" t="s">
        <v>1089</v>
      </c>
      <c r="G325" s="145" t="s">
        <v>1153</v>
      </c>
      <c r="H325" s="146" t="s">
        <v>1041</v>
      </c>
      <c r="I325" s="147" t="s">
        <v>82</v>
      </c>
      <c r="J325" s="148" t="s">
        <v>1041</v>
      </c>
      <c r="K325" s="149" t="s">
        <v>82</v>
      </c>
      <c r="L325" s="150" t="s">
        <v>1514</v>
      </c>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50"/>
      <c r="AM325" s="150"/>
      <c r="AN325" s="150"/>
      <c r="AO325" s="150"/>
      <c r="AP325" s="150"/>
      <c r="AQ325" s="150"/>
      <c r="AR325" s="150"/>
      <c r="AS325" s="150"/>
      <c r="AT325" s="150"/>
      <c r="AU325" s="150"/>
      <c r="AV325" s="150"/>
      <c r="AW325" s="150"/>
      <c r="AX325" s="150"/>
      <c r="AY325" s="151"/>
      <c r="AZ325" s="151"/>
      <c r="BA325" s="151"/>
      <c r="BB325" s="151"/>
      <c r="BC325" s="151"/>
      <c r="BD325" s="151"/>
      <c r="BE325" s="151"/>
      <c r="BF325" s="151"/>
      <c r="BG325" s="151"/>
      <c r="BH325" s="151"/>
      <c r="BI325" s="151"/>
      <c r="BJ325" s="151"/>
      <c r="BK325" s="151"/>
      <c r="BL325" s="151"/>
      <c r="BM325" s="151"/>
      <c r="BN325" s="151"/>
      <c r="BO325" s="151"/>
      <c r="BP325" s="151"/>
      <c r="BQ325" s="151"/>
      <c r="BR325" s="151"/>
    </row>
    <row r="326" s="75" customFormat="true" ht="30" hidden="false" customHeight="false" outlineLevel="0" collapsed="false">
      <c r="A326" s="141" t="s">
        <v>1042</v>
      </c>
      <c r="B326" s="142" t="s">
        <v>1152</v>
      </c>
      <c r="C326" s="143" t="s">
        <v>1516</v>
      </c>
      <c r="D326" s="144" t="s">
        <v>1153</v>
      </c>
      <c r="E326" s="144" t="s">
        <v>1153</v>
      </c>
      <c r="F326" s="144" t="s">
        <v>1089</v>
      </c>
      <c r="G326" s="145" t="s">
        <v>1153</v>
      </c>
      <c r="H326" s="146" t="s">
        <v>1041</v>
      </c>
      <c r="I326" s="147" t="s">
        <v>82</v>
      </c>
      <c r="J326" s="148" t="s">
        <v>1041</v>
      </c>
      <c r="K326" s="149" t="s">
        <v>82</v>
      </c>
      <c r="L326" s="150" t="s">
        <v>1514</v>
      </c>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50"/>
      <c r="AM326" s="150"/>
      <c r="AN326" s="150"/>
      <c r="AO326" s="150"/>
      <c r="AP326" s="150"/>
      <c r="AQ326" s="150"/>
      <c r="AR326" s="150"/>
      <c r="AS326" s="150"/>
      <c r="AT326" s="150"/>
      <c r="AU326" s="150"/>
      <c r="AV326" s="150"/>
      <c r="AW326" s="150"/>
      <c r="AX326" s="150"/>
      <c r="AY326" s="151"/>
      <c r="AZ326" s="151"/>
      <c r="BA326" s="151"/>
      <c r="BB326" s="151"/>
      <c r="BC326" s="151"/>
      <c r="BD326" s="151"/>
      <c r="BE326" s="151"/>
      <c r="BF326" s="151"/>
      <c r="BG326" s="151"/>
      <c r="BH326" s="151"/>
      <c r="BI326" s="151"/>
      <c r="BJ326" s="151"/>
      <c r="BK326" s="151"/>
      <c r="BL326" s="151"/>
      <c r="BM326" s="151"/>
      <c r="BN326" s="151"/>
      <c r="BO326" s="151"/>
      <c r="BP326" s="151"/>
      <c r="BQ326" s="151"/>
      <c r="BR326" s="151"/>
    </row>
    <row r="327" s="75" customFormat="true" ht="15" hidden="false" customHeight="false" outlineLevel="0" collapsed="false">
      <c r="A327" s="141"/>
      <c r="B327" s="142"/>
      <c r="C327" s="143"/>
      <c r="D327" s="144"/>
      <c r="E327" s="144"/>
      <c r="F327" s="144"/>
      <c r="G327" s="145"/>
      <c r="H327" s="146"/>
      <c r="I327" s="147"/>
      <c r="J327" s="148"/>
      <c r="K327" s="149"/>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50"/>
      <c r="AM327" s="150"/>
      <c r="AN327" s="150"/>
      <c r="AO327" s="150"/>
      <c r="AP327" s="150"/>
      <c r="AQ327" s="150"/>
      <c r="AR327" s="150"/>
      <c r="AS327" s="150"/>
      <c r="AT327" s="150"/>
      <c r="AU327" s="150"/>
      <c r="AV327" s="150"/>
      <c r="AW327" s="150"/>
      <c r="AX327" s="150"/>
      <c r="AY327" s="151"/>
      <c r="AZ327" s="151"/>
      <c r="BA327" s="151"/>
      <c r="BB327" s="151"/>
      <c r="BC327" s="151"/>
      <c r="BD327" s="151"/>
      <c r="BE327" s="151"/>
      <c r="BF327" s="151"/>
      <c r="BG327" s="151"/>
      <c r="BH327" s="151"/>
      <c r="BI327" s="151"/>
      <c r="BJ327" s="151"/>
      <c r="BK327" s="151"/>
      <c r="BL327" s="151"/>
      <c r="BM327" s="151"/>
      <c r="BN327" s="151"/>
      <c r="BO327" s="151"/>
      <c r="BP327" s="151"/>
      <c r="BQ327" s="151"/>
      <c r="BR327" s="151"/>
    </row>
    <row r="328" s="75" customFormat="true" ht="30" hidden="false" customHeight="false" outlineLevel="0" collapsed="false">
      <c r="A328" s="141" t="s">
        <v>1044</v>
      </c>
      <c r="B328" s="142" t="s">
        <v>1152</v>
      </c>
      <c r="C328" s="143" t="s">
        <v>1517</v>
      </c>
      <c r="D328" s="144" t="s">
        <v>1153</v>
      </c>
      <c r="E328" s="144" t="s">
        <v>1153</v>
      </c>
      <c r="F328" s="144" t="s">
        <v>1089</v>
      </c>
      <c r="G328" s="145" t="s">
        <v>1153</v>
      </c>
      <c r="H328" s="146" t="s">
        <v>924</v>
      </c>
      <c r="I328" s="147" t="s">
        <v>82</v>
      </c>
      <c r="J328" s="148" t="s">
        <v>924</v>
      </c>
      <c r="K328" s="149" t="s">
        <v>82</v>
      </c>
      <c r="L328" s="150" t="s">
        <v>1161</v>
      </c>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50"/>
      <c r="AM328" s="150"/>
      <c r="AN328" s="150"/>
      <c r="AO328" s="150"/>
      <c r="AP328" s="150"/>
      <c r="AQ328" s="150"/>
      <c r="AR328" s="150"/>
      <c r="AS328" s="150"/>
      <c r="AT328" s="150"/>
      <c r="AU328" s="150"/>
      <c r="AV328" s="150"/>
      <c r="AW328" s="150"/>
      <c r="AX328" s="150"/>
      <c r="AY328" s="151"/>
      <c r="AZ328" s="151"/>
      <c r="BA328" s="151"/>
      <c r="BB328" s="151"/>
      <c r="BC328" s="151"/>
      <c r="BD328" s="151"/>
      <c r="BE328" s="151"/>
      <c r="BF328" s="151"/>
      <c r="BG328" s="151"/>
      <c r="BH328" s="151"/>
      <c r="BI328" s="151"/>
      <c r="BJ328" s="151"/>
      <c r="BK328" s="151"/>
      <c r="BL328" s="151"/>
      <c r="BM328" s="151"/>
      <c r="BN328" s="151"/>
      <c r="BO328" s="151"/>
      <c r="BP328" s="151"/>
      <c r="BQ328" s="151"/>
      <c r="BR328" s="151"/>
    </row>
    <row r="329" s="75" customFormat="true" ht="15" hidden="false" customHeight="false" outlineLevel="0" collapsed="false">
      <c r="A329" s="141"/>
      <c r="B329" s="142"/>
      <c r="C329" s="143"/>
      <c r="D329" s="144"/>
      <c r="E329" s="144"/>
      <c r="F329" s="144"/>
      <c r="G329" s="145"/>
      <c r="H329" s="146"/>
      <c r="I329" s="147"/>
      <c r="J329" s="148"/>
      <c r="K329" s="149"/>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50"/>
      <c r="AM329" s="150"/>
      <c r="AN329" s="150"/>
      <c r="AO329" s="150"/>
      <c r="AP329" s="150"/>
      <c r="AQ329" s="150"/>
      <c r="AR329" s="150"/>
      <c r="AS329" s="150"/>
      <c r="AT329" s="150"/>
      <c r="AU329" s="150"/>
      <c r="AV329" s="150"/>
      <c r="AW329" s="150"/>
      <c r="AX329" s="150"/>
      <c r="AY329" s="151"/>
      <c r="AZ329" s="151"/>
      <c r="BA329" s="151"/>
      <c r="BB329" s="151"/>
      <c r="BC329" s="151"/>
      <c r="BD329" s="151"/>
      <c r="BE329" s="151"/>
      <c r="BF329" s="151"/>
      <c r="BG329" s="151"/>
      <c r="BH329" s="151"/>
      <c r="BI329" s="151"/>
      <c r="BJ329" s="151"/>
      <c r="BK329" s="151"/>
      <c r="BL329" s="151"/>
      <c r="BM329" s="151"/>
      <c r="BN329" s="151"/>
      <c r="BO329" s="151"/>
      <c r="BP329" s="151"/>
      <c r="BQ329" s="151"/>
      <c r="BR329" s="151"/>
    </row>
    <row r="330" s="140" customFormat="true" ht="15" hidden="false" customHeight="false" outlineLevel="0" collapsed="false">
      <c r="A330" s="129" t="s">
        <v>1046</v>
      </c>
      <c r="B330" s="130" t="s">
        <v>1090</v>
      </c>
      <c r="C330" s="131" t="s">
        <v>1518</v>
      </c>
      <c r="D330" s="132"/>
      <c r="E330" s="132"/>
      <c r="F330" s="132"/>
      <c r="G330" s="133"/>
      <c r="H330" s="134" t="s">
        <v>81</v>
      </c>
      <c r="I330" s="135" t="s">
        <v>88</v>
      </c>
      <c r="J330" s="136" t="s">
        <v>81</v>
      </c>
      <c r="K330" s="137" t="s">
        <v>88</v>
      </c>
      <c r="L330" s="138" t="s">
        <v>1519</v>
      </c>
      <c r="M330" s="138" t="s">
        <v>1520</v>
      </c>
      <c r="N330" s="138" t="s">
        <v>1521</v>
      </c>
      <c r="O330" s="138" t="s">
        <v>1522</v>
      </c>
      <c r="P330" s="138" t="s">
        <v>1523</v>
      </c>
      <c r="Q330" s="138" t="s">
        <v>1524</v>
      </c>
      <c r="R330" s="138" t="s">
        <v>1525</v>
      </c>
      <c r="S330" s="138" t="s">
        <v>1526</v>
      </c>
      <c r="T330" s="138" t="s">
        <v>1527</v>
      </c>
      <c r="U330" s="138" t="s">
        <v>1528</v>
      </c>
      <c r="V330" s="138" t="s">
        <v>1529</v>
      </c>
      <c r="W330" s="138" t="s">
        <v>1530</v>
      </c>
      <c r="X330" s="138" t="s">
        <v>1531</v>
      </c>
      <c r="Y330" s="138" t="s">
        <v>1532</v>
      </c>
      <c r="Z330" s="138" t="s">
        <v>1533</v>
      </c>
      <c r="AA330" s="138" t="s">
        <v>1534</v>
      </c>
      <c r="AB330" s="138" t="s">
        <v>1535</v>
      </c>
      <c r="AC330" s="138" t="s">
        <v>1536</v>
      </c>
      <c r="AD330" s="138" t="s">
        <v>1537</v>
      </c>
      <c r="AE330" s="138" t="s">
        <v>1538</v>
      </c>
      <c r="AF330" s="138" t="s">
        <v>1539</v>
      </c>
      <c r="AG330" s="138" t="s">
        <v>1540</v>
      </c>
      <c r="AH330" s="138" t="s">
        <v>1541</v>
      </c>
      <c r="AI330" s="138" t="s">
        <v>1542</v>
      </c>
      <c r="AJ330" s="138" t="s">
        <v>1543</v>
      </c>
      <c r="AK330" s="138"/>
      <c r="AL330" s="138"/>
      <c r="AM330" s="138"/>
      <c r="AN330" s="138"/>
      <c r="AO330" s="138"/>
      <c r="AP330" s="138"/>
      <c r="AQ330" s="138"/>
      <c r="AR330" s="138"/>
      <c r="AS330" s="138"/>
      <c r="AT330" s="138"/>
      <c r="AU330" s="138"/>
      <c r="AV330" s="138"/>
      <c r="AW330" s="138"/>
      <c r="AX330" s="138"/>
      <c r="AY330" s="139"/>
      <c r="AZ330" s="139"/>
      <c r="BA330" s="139"/>
      <c r="BB330" s="139"/>
      <c r="BC330" s="139"/>
      <c r="BD330" s="139"/>
      <c r="BE330" s="139"/>
      <c r="BF330" s="139"/>
      <c r="BG330" s="139"/>
      <c r="BH330" s="139"/>
      <c r="BI330" s="139"/>
      <c r="BJ330" s="139"/>
      <c r="BK330" s="139"/>
      <c r="BL330" s="139"/>
      <c r="BM330" s="139"/>
      <c r="BN330" s="139"/>
      <c r="BO330" s="139"/>
      <c r="BP330" s="139"/>
      <c r="BQ330" s="139"/>
      <c r="BR330" s="139"/>
    </row>
    <row r="331" s="140" customFormat="true" ht="15" hidden="false" customHeight="false" outlineLevel="0" collapsed="false">
      <c r="A331" s="129" t="s">
        <v>1048</v>
      </c>
      <c r="B331" s="130" t="s">
        <v>1090</v>
      </c>
      <c r="C331" s="131" t="s">
        <v>1049</v>
      </c>
      <c r="D331" s="132"/>
      <c r="E331" s="132"/>
      <c r="F331" s="132"/>
      <c r="G331" s="133"/>
      <c r="H331" s="134" t="s">
        <v>81</v>
      </c>
      <c r="I331" s="135" t="s">
        <v>88</v>
      </c>
      <c r="J331" s="136" t="s">
        <v>81</v>
      </c>
      <c r="K331" s="137" t="s">
        <v>88</v>
      </c>
      <c r="L331" s="138" t="n">
        <v>9495</v>
      </c>
      <c r="M331" s="138" t="n">
        <v>9596</v>
      </c>
      <c r="N331" s="138" t="n">
        <v>9697</v>
      </c>
      <c r="O331" s="138" t="n">
        <v>9798</v>
      </c>
      <c r="P331" s="138" t="n">
        <v>9899</v>
      </c>
      <c r="Q331" s="138" t="n">
        <v>9900</v>
      </c>
      <c r="R331" s="138" t="s">
        <v>1544</v>
      </c>
      <c r="S331" s="138" t="s">
        <v>1545</v>
      </c>
      <c r="T331" s="138" t="s">
        <v>1546</v>
      </c>
      <c r="U331" s="138" t="s">
        <v>1547</v>
      </c>
      <c r="V331" s="138" t="s">
        <v>1548</v>
      </c>
      <c r="W331" s="138" t="s">
        <v>1549</v>
      </c>
      <c r="X331" s="138" t="s">
        <v>1550</v>
      </c>
      <c r="Y331" s="138" t="s">
        <v>1551</v>
      </c>
      <c r="Z331" s="138" t="s">
        <v>1552</v>
      </c>
      <c r="AA331" s="138" t="s">
        <v>1553</v>
      </c>
      <c r="AB331" s="138" t="s">
        <v>1554</v>
      </c>
      <c r="AC331" s="138" t="s">
        <v>1555</v>
      </c>
      <c r="AD331" s="138" t="s">
        <v>1556</v>
      </c>
      <c r="AE331" s="138" t="s">
        <v>1557</v>
      </c>
      <c r="AF331" s="138" t="s">
        <v>1558</v>
      </c>
      <c r="AG331" s="138" t="s">
        <v>1559</v>
      </c>
      <c r="AH331" s="138" t="s">
        <v>1560</v>
      </c>
      <c r="AI331" s="138" t="s">
        <v>1561</v>
      </c>
      <c r="AJ331" s="138" t="s">
        <v>1562</v>
      </c>
      <c r="AK331" s="138"/>
      <c r="AL331" s="138"/>
      <c r="AM331" s="138"/>
      <c r="AN331" s="138"/>
      <c r="AO331" s="138"/>
      <c r="AP331" s="138"/>
      <c r="AQ331" s="138"/>
      <c r="AR331" s="138"/>
      <c r="AS331" s="138"/>
      <c r="AT331" s="138"/>
      <c r="AU331" s="138"/>
      <c r="AV331" s="138"/>
      <c r="AW331" s="138"/>
      <c r="AX331" s="138"/>
      <c r="AY331" s="139"/>
      <c r="AZ331" s="139"/>
      <c r="BA331" s="139"/>
      <c r="BB331" s="139"/>
      <c r="BC331" s="139"/>
      <c r="BD331" s="139"/>
      <c r="BE331" s="139"/>
      <c r="BF331" s="139"/>
      <c r="BG331" s="139"/>
      <c r="BH331" s="139"/>
      <c r="BI331" s="139"/>
      <c r="BJ331" s="139"/>
      <c r="BK331" s="139"/>
      <c r="BL331" s="139"/>
      <c r="BM331" s="139"/>
      <c r="BN331" s="139"/>
      <c r="BO331" s="139"/>
      <c r="BP331" s="139"/>
      <c r="BQ331" s="139"/>
      <c r="BR331" s="139"/>
    </row>
    <row r="332" s="75" customFormat="true" ht="15" hidden="false" customHeight="false" outlineLevel="0" collapsed="false">
      <c r="A332" s="141"/>
      <c r="B332" s="142"/>
      <c r="C332" s="143"/>
      <c r="D332" s="144"/>
      <c r="E332" s="144"/>
      <c r="F332" s="144"/>
      <c r="G332" s="145"/>
      <c r="H332" s="146"/>
      <c r="I332" s="147"/>
      <c r="J332" s="148"/>
      <c r="K332" s="149"/>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50"/>
      <c r="AM332" s="150"/>
      <c r="AN332" s="150"/>
      <c r="AO332" s="150"/>
      <c r="AP332" s="150"/>
      <c r="AQ332" s="150"/>
      <c r="AR332" s="150"/>
      <c r="AS332" s="150"/>
      <c r="AT332" s="150"/>
      <c r="AU332" s="150"/>
      <c r="AV332" s="150"/>
      <c r="AW332" s="150"/>
      <c r="AX332" s="150"/>
      <c r="AY332" s="151"/>
      <c r="AZ332" s="151"/>
      <c r="BA332" s="151"/>
      <c r="BB332" s="151"/>
      <c r="BC332" s="151"/>
      <c r="BD332" s="151"/>
      <c r="BE332" s="151"/>
      <c r="BF332" s="151"/>
      <c r="BG332" s="151"/>
      <c r="BH332" s="151"/>
      <c r="BI332" s="151"/>
      <c r="BJ332" s="151"/>
      <c r="BK332" s="151"/>
      <c r="BL332" s="151"/>
      <c r="BM332" s="151"/>
      <c r="BN332" s="151"/>
      <c r="BO332" s="151"/>
      <c r="BP332" s="151"/>
      <c r="BQ332" s="151"/>
      <c r="BR332" s="151"/>
    </row>
    <row r="333" s="140" customFormat="true" ht="15" hidden="false" customHeight="false" outlineLevel="0" collapsed="false">
      <c r="A333" s="129" t="s">
        <v>1050</v>
      </c>
      <c r="B333" s="130" t="s">
        <v>1090</v>
      </c>
      <c r="C333" s="131" t="s">
        <v>1563</v>
      </c>
      <c r="D333" s="132"/>
      <c r="E333" s="132"/>
      <c r="F333" s="132"/>
      <c r="G333" s="133"/>
      <c r="H333" s="134" t="s">
        <v>81</v>
      </c>
      <c r="I333" s="135" t="s">
        <v>88</v>
      </c>
      <c r="J333" s="136" t="s">
        <v>81</v>
      </c>
      <c r="K333" s="137" t="s">
        <v>88</v>
      </c>
      <c r="L333" s="138" t="s">
        <v>1564</v>
      </c>
      <c r="M333" s="138" t="s">
        <v>1565</v>
      </c>
      <c r="N333" s="138" t="s">
        <v>1566</v>
      </c>
      <c r="O333" s="138" t="s">
        <v>1567</v>
      </c>
      <c r="P333" s="138" t="s">
        <v>1568</v>
      </c>
      <c r="Q333" s="138"/>
      <c r="R333" s="138"/>
      <c r="S333" s="138"/>
      <c r="T333" s="138"/>
      <c r="U333" s="138"/>
      <c r="V333" s="138"/>
      <c r="W333" s="138"/>
      <c r="X333" s="138"/>
      <c r="Y333" s="138"/>
      <c r="Z333" s="138"/>
      <c r="AA333" s="138"/>
      <c r="AB333" s="138"/>
      <c r="AC333" s="138"/>
      <c r="AD333" s="138"/>
      <c r="AE333" s="138"/>
      <c r="AF333" s="138"/>
      <c r="AG333" s="138"/>
      <c r="AH333" s="138"/>
      <c r="AI333" s="138"/>
      <c r="AJ333" s="138"/>
      <c r="AK333" s="138"/>
      <c r="AL333" s="138"/>
      <c r="AM333" s="138"/>
      <c r="AN333" s="138"/>
      <c r="AO333" s="138"/>
      <c r="AP333" s="138"/>
      <c r="AQ333" s="138"/>
      <c r="AR333" s="138"/>
      <c r="AS333" s="138"/>
      <c r="AT333" s="138"/>
      <c r="AU333" s="138"/>
      <c r="AV333" s="138"/>
      <c r="AW333" s="138"/>
      <c r="AX333" s="138"/>
      <c r="AY333" s="139"/>
      <c r="AZ333" s="139"/>
      <c r="BA333" s="139"/>
      <c r="BB333" s="139"/>
      <c r="BC333" s="139"/>
      <c r="BD333" s="139"/>
      <c r="BE333" s="139"/>
      <c r="BF333" s="139"/>
      <c r="BG333" s="139"/>
      <c r="BH333" s="139"/>
      <c r="BI333" s="139"/>
      <c r="BJ333" s="139"/>
      <c r="BK333" s="139"/>
      <c r="BL333" s="139"/>
      <c r="BM333" s="139"/>
      <c r="BN333" s="139"/>
      <c r="BO333" s="139"/>
      <c r="BP333" s="139"/>
      <c r="BQ333" s="139"/>
      <c r="BR333" s="139"/>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sheetPr filterMode="false">
    <pageSetUpPr fitToPage="false"/>
  </sheetPr>
  <dimension ref="A1:E23"/>
  <sheetViews>
    <sheetView showFormulas="false" showGridLines="true" showRowColHeaders="true" showZeros="true" rightToLeft="false" tabSelected="false" showOutlineSymbols="true" defaultGridColor="true" view="normal" topLeftCell="A1" colorId="64" zoomScale="84" zoomScaleNormal="84" zoomScalePageLayoutView="100" workbookViewId="0">
      <pane xSplit="0" ySplit="5" topLeftCell="A15" activePane="bottomLeft" state="frozen"/>
      <selection pane="topLeft" activeCell="A1" activeCellId="0" sqref="A1"/>
      <selection pane="bottomLeft" activeCell="B1" activeCellId="1" sqref="C275:D279 B1"/>
    </sheetView>
  </sheetViews>
  <sheetFormatPr defaultRowHeight="15" zeroHeight="false" outlineLevelRow="0" outlineLevelCol="0"/>
  <cols>
    <col collapsed="false" customWidth="true" hidden="false" outlineLevel="0" max="1" min="1" style="180" width="34.83"/>
    <col collapsed="false" customWidth="true" hidden="false" outlineLevel="0" max="2" min="2" style="181" width="11.61"/>
    <col collapsed="false" customWidth="true" hidden="false" outlineLevel="0" max="3" min="3" style="182" width="43.61"/>
    <col collapsed="false" customWidth="true" hidden="false" outlineLevel="0" max="4" min="4" style="180" width="33.06"/>
    <col collapsed="false" customWidth="true" hidden="false" outlineLevel="0" max="5" min="5" style="180" width="35.11"/>
    <col collapsed="false" customWidth="true" hidden="false" outlineLevel="0" max="1025" min="6" style="180" width="53.5"/>
  </cols>
  <sheetData>
    <row r="1" customFormat="false" ht="15" hidden="false" customHeight="false" outlineLevel="0" collapsed="false">
      <c r="A1" s="183" t="s">
        <v>1569</v>
      </c>
    </row>
    <row r="2" customFormat="false" ht="15" hidden="false" customHeight="false" outlineLevel="0" collapsed="false">
      <c r="A2" s="183"/>
    </row>
    <row r="3" customFormat="false" ht="15" hidden="false" customHeight="false" outlineLevel="0" collapsed="false">
      <c r="A3" s="42" t="s">
        <v>1570</v>
      </c>
    </row>
    <row r="4" customFormat="false" ht="15.4" hidden="false" customHeight="false" outlineLevel="0" collapsed="false">
      <c r="A4" s="42"/>
    </row>
    <row r="5" customFormat="false" ht="15.4" hidden="false" customHeight="false" outlineLevel="0" collapsed="false">
      <c r="A5" s="184" t="s">
        <v>1571</v>
      </c>
      <c r="B5" s="185"/>
      <c r="C5" s="186" t="s">
        <v>1074</v>
      </c>
      <c r="D5" s="185" t="s">
        <v>1572</v>
      </c>
      <c r="E5" s="187" t="s">
        <v>1573</v>
      </c>
    </row>
    <row r="6" customFormat="false" ht="30" hidden="false" customHeight="false" outlineLevel="0" collapsed="false">
      <c r="A6" s="188" t="s">
        <v>962</v>
      </c>
      <c r="B6" s="189" t="s">
        <v>1118</v>
      </c>
      <c r="C6" s="190" t="s">
        <v>1574</v>
      </c>
      <c r="D6" s="191" t="s">
        <v>81</v>
      </c>
      <c r="E6" s="192" t="s">
        <v>1575</v>
      </c>
    </row>
    <row r="7" customFormat="false" ht="15" hidden="false" customHeight="false" outlineLevel="0" collapsed="false">
      <c r="A7" s="188"/>
      <c r="B7" s="189"/>
      <c r="C7" s="190"/>
      <c r="D7" s="193"/>
      <c r="E7" s="194"/>
    </row>
    <row r="8" customFormat="false" ht="30" hidden="false" customHeight="false" outlineLevel="0" collapsed="false">
      <c r="A8" s="188" t="s">
        <v>117</v>
      </c>
      <c r="B8" s="189" t="s">
        <v>1090</v>
      </c>
      <c r="C8" s="190" t="s">
        <v>1576</v>
      </c>
      <c r="D8" s="195" t="s">
        <v>81</v>
      </c>
      <c r="E8" s="196" t="s">
        <v>1575</v>
      </c>
    </row>
    <row r="9" customFormat="false" ht="15" hidden="false" customHeight="false" outlineLevel="0" collapsed="false">
      <c r="A9" s="188"/>
      <c r="B9" s="189"/>
      <c r="C9" s="190"/>
      <c r="D9" s="193"/>
      <c r="E9" s="194"/>
    </row>
    <row r="10" customFormat="false" ht="30" hidden="false" customHeight="false" outlineLevel="0" collapsed="false">
      <c r="A10" s="188" t="s">
        <v>1577</v>
      </c>
      <c r="B10" s="189" t="s">
        <v>1118</v>
      </c>
      <c r="C10" s="190" t="s">
        <v>1578</v>
      </c>
      <c r="D10" s="195" t="s">
        <v>81</v>
      </c>
      <c r="E10" s="196" t="s">
        <v>1575</v>
      </c>
    </row>
    <row r="11" customFormat="false" ht="15" hidden="false" customHeight="false" outlineLevel="0" collapsed="false">
      <c r="A11" s="188"/>
      <c r="B11" s="189"/>
      <c r="C11" s="190"/>
      <c r="D11" s="193"/>
      <c r="E11" s="194"/>
    </row>
    <row r="12" customFormat="false" ht="30" hidden="false" customHeight="false" outlineLevel="0" collapsed="false">
      <c r="A12" s="188" t="s">
        <v>1579</v>
      </c>
      <c r="B12" s="189" t="s">
        <v>1118</v>
      </c>
      <c r="C12" s="190" t="s">
        <v>1580</v>
      </c>
      <c r="D12" s="195" t="s">
        <v>81</v>
      </c>
      <c r="E12" s="196" t="s">
        <v>1575</v>
      </c>
    </row>
    <row r="13" customFormat="false" ht="15" hidden="false" customHeight="false" outlineLevel="0" collapsed="false">
      <c r="A13" s="188"/>
      <c r="B13" s="189"/>
      <c r="C13" s="190"/>
      <c r="D13" s="193"/>
      <c r="E13" s="194"/>
    </row>
    <row r="14" customFormat="false" ht="30" hidden="false" customHeight="false" outlineLevel="0" collapsed="false">
      <c r="A14" s="188" t="s">
        <v>1581</v>
      </c>
      <c r="B14" s="189" t="s">
        <v>1118</v>
      </c>
      <c r="C14" s="190" t="s">
        <v>1582</v>
      </c>
      <c r="D14" s="195" t="s">
        <v>81</v>
      </c>
      <c r="E14" s="196" t="s">
        <v>1575</v>
      </c>
    </row>
    <row r="15" customFormat="false" ht="15" hidden="false" customHeight="false" outlineLevel="0" collapsed="false">
      <c r="A15" s="188"/>
      <c r="B15" s="189"/>
      <c r="C15" s="190"/>
      <c r="D15" s="193"/>
      <c r="E15" s="194"/>
    </row>
    <row r="16" customFormat="false" ht="30" hidden="false" customHeight="false" outlineLevel="0" collapsed="false">
      <c r="A16" s="188" t="s">
        <v>1583</v>
      </c>
      <c r="B16" s="189" t="s">
        <v>1118</v>
      </c>
      <c r="C16" s="190" t="s">
        <v>1584</v>
      </c>
      <c r="D16" s="195" t="s">
        <v>81</v>
      </c>
      <c r="E16" s="196" t="s">
        <v>1575</v>
      </c>
    </row>
    <row r="17" customFormat="false" ht="15" hidden="false" customHeight="false" outlineLevel="0" collapsed="false">
      <c r="A17" s="188"/>
      <c r="B17" s="189"/>
      <c r="C17" s="190"/>
      <c r="D17" s="193"/>
      <c r="E17" s="194"/>
    </row>
    <row r="18" customFormat="false" ht="30" hidden="false" customHeight="false" outlineLevel="0" collapsed="false">
      <c r="A18" s="188" t="s">
        <v>1585</v>
      </c>
      <c r="B18" s="189" t="s">
        <v>1118</v>
      </c>
      <c r="C18" s="190" t="s">
        <v>1586</v>
      </c>
      <c r="D18" s="195" t="s">
        <v>81</v>
      </c>
      <c r="E18" s="196" t="s">
        <v>1575</v>
      </c>
    </row>
    <row r="19" customFormat="false" ht="15" hidden="false" customHeight="false" outlineLevel="0" collapsed="false">
      <c r="A19" s="188"/>
      <c r="B19" s="189"/>
      <c r="C19" s="190"/>
      <c r="D19" s="193"/>
      <c r="E19" s="194"/>
    </row>
    <row r="20" customFormat="false" ht="30" hidden="false" customHeight="false" outlineLevel="0" collapsed="false">
      <c r="A20" s="188" t="s">
        <v>1587</v>
      </c>
      <c r="B20" s="189" t="s">
        <v>1118</v>
      </c>
      <c r="C20" s="190" t="s">
        <v>1588</v>
      </c>
      <c r="D20" s="195" t="s">
        <v>81</v>
      </c>
      <c r="E20" s="196" t="s">
        <v>1575</v>
      </c>
    </row>
    <row r="21" customFormat="false" ht="15" hidden="false" customHeight="false" outlineLevel="0" collapsed="false">
      <c r="A21" s="188"/>
      <c r="B21" s="189"/>
      <c r="C21" s="190"/>
      <c r="D21" s="193"/>
      <c r="E21" s="194"/>
    </row>
    <row r="22" customFormat="false" ht="30" hidden="false" customHeight="false" outlineLevel="0" collapsed="false">
      <c r="A22" s="188" t="s">
        <v>1589</v>
      </c>
      <c r="B22" s="189" t="s">
        <v>1118</v>
      </c>
      <c r="C22" s="190" t="s">
        <v>1590</v>
      </c>
      <c r="D22" s="195" t="s">
        <v>81</v>
      </c>
      <c r="E22" s="196" t="s">
        <v>1575</v>
      </c>
    </row>
    <row r="23" customFormat="false" ht="15.4" hidden="false" customHeight="false" outlineLevel="0" collapsed="false">
      <c r="A23" s="197"/>
      <c r="B23" s="198"/>
      <c r="C23" s="199"/>
      <c r="D23" s="200"/>
      <c r="E23" s="201"/>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F31"/>
  <sheetViews>
    <sheetView showFormulas="false" showGridLines="true" showRowColHeaders="true" showZeros="true" rightToLeft="false" tabSelected="false" showOutlineSymbols="true" defaultGridColor="true" view="normal" topLeftCell="A10" colorId="64" zoomScale="62" zoomScaleNormal="62" zoomScalePageLayoutView="100" workbookViewId="0">
      <selection pane="topLeft" activeCell="B1" activeCellId="1" sqref="C275:D279 B1"/>
    </sheetView>
  </sheetViews>
  <sheetFormatPr defaultRowHeight="15" zeroHeight="false" outlineLevelRow="0" outlineLevelCol="0"/>
  <cols>
    <col collapsed="false" customWidth="true" hidden="false" outlineLevel="0" max="1" min="1" style="202" width="37.34"/>
    <col collapsed="false" customWidth="true" hidden="false" outlineLevel="0" max="2" min="2" style="203" width="49.33"/>
    <col collapsed="false" customWidth="true" hidden="false" outlineLevel="0" max="3" min="3" style="27" width="33.06"/>
    <col collapsed="false" customWidth="true" hidden="false" outlineLevel="0" max="4" min="4" style="27" width="32.22"/>
    <col collapsed="false" customWidth="true" hidden="false" outlineLevel="0" max="5" min="5" style="18" width="2.88"/>
    <col collapsed="false" customWidth="true" hidden="false" outlineLevel="0" max="6" min="6" style="18" width="16.17"/>
    <col collapsed="false" customWidth="true" hidden="false" outlineLevel="0" max="7" min="7" style="18" width="77.94"/>
    <col collapsed="false" customWidth="true" hidden="false" outlineLevel="0" max="1025" min="8" style="18" width="8.89"/>
  </cols>
  <sheetData>
    <row r="1" customFormat="false" ht="15" hidden="false" customHeight="false" outlineLevel="0" collapsed="false">
      <c r="A1" s="204" t="s">
        <v>15</v>
      </c>
    </row>
    <row r="2" customFormat="false" ht="15" hidden="false" customHeight="false" outlineLevel="0" collapsed="false">
      <c r="A2" s="204"/>
    </row>
    <row r="3" customFormat="false" ht="15" hidden="false" customHeight="false" outlineLevel="0" collapsed="false">
      <c r="A3" s="10" t="s">
        <v>1591</v>
      </c>
    </row>
    <row r="4" customFormat="false" ht="15.4" hidden="false" customHeight="false" outlineLevel="0" collapsed="false"/>
    <row r="5" customFormat="false" ht="15.4" hidden="false" customHeight="false" outlineLevel="0" collapsed="false">
      <c r="A5" s="205" t="s">
        <v>1592</v>
      </c>
      <c r="B5" s="206" t="s">
        <v>1074</v>
      </c>
      <c r="C5" s="207" t="s">
        <v>1593</v>
      </c>
      <c r="D5" s="208" t="s">
        <v>1593</v>
      </c>
    </row>
    <row r="6" customFormat="false" ht="15" hidden="false" customHeight="false" outlineLevel="0" collapsed="false">
      <c r="A6" s="209"/>
      <c r="B6" s="210"/>
      <c r="C6" s="211" t="s">
        <v>1060</v>
      </c>
      <c r="D6" s="208" t="s">
        <v>1062</v>
      </c>
    </row>
    <row r="7" customFormat="false" ht="15" hidden="false" customHeight="false" outlineLevel="0" collapsed="false">
      <c r="A7" s="209"/>
      <c r="B7" s="210"/>
      <c r="C7" s="212" t="s">
        <v>1059</v>
      </c>
      <c r="D7" s="213" t="s">
        <v>1594</v>
      </c>
    </row>
    <row r="8" customFormat="false" ht="15.4" hidden="false" customHeight="false" outlineLevel="0" collapsed="false">
      <c r="A8" s="209"/>
      <c r="B8" s="210"/>
      <c r="C8" s="212"/>
      <c r="D8" s="213"/>
    </row>
    <row r="9" customFormat="false" ht="75.4" hidden="false" customHeight="false" outlineLevel="0" collapsed="false">
      <c r="A9" s="206" t="s">
        <v>1595</v>
      </c>
      <c r="B9" s="214" t="s">
        <v>1596</v>
      </c>
      <c r="C9" s="215" t="s">
        <v>1597</v>
      </c>
      <c r="D9" s="215" t="s">
        <v>1597</v>
      </c>
    </row>
    <row r="10" customFormat="false" ht="45" hidden="false" customHeight="false" outlineLevel="0" collapsed="false">
      <c r="A10" s="206" t="s">
        <v>1076</v>
      </c>
      <c r="B10" s="214" t="s">
        <v>1598</v>
      </c>
      <c r="C10" s="216" t="s">
        <v>1599</v>
      </c>
      <c r="D10" s="216" t="s">
        <v>1600</v>
      </c>
    </row>
    <row r="11" customFormat="false" ht="15.4" hidden="false" customHeight="false" outlineLevel="0" collapsed="false">
      <c r="A11" s="210"/>
      <c r="B11" s="217"/>
      <c r="C11" s="25" t="s">
        <v>303</v>
      </c>
      <c r="D11" s="25" t="s">
        <v>301</v>
      </c>
    </row>
    <row r="12" customFormat="false" ht="60" hidden="false" customHeight="false" outlineLevel="0" collapsed="false">
      <c r="A12" s="206" t="s">
        <v>1077</v>
      </c>
      <c r="B12" s="188" t="s">
        <v>1601</v>
      </c>
      <c r="C12" s="216" t="s">
        <v>1602</v>
      </c>
      <c r="D12" s="216" t="s">
        <v>1603</v>
      </c>
      <c r="F12" s="18" t="s">
        <v>1604</v>
      </c>
    </row>
    <row r="13" customFormat="false" ht="15.4" hidden="false" customHeight="false" outlineLevel="0" collapsed="false">
      <c r="A13" s="210"/>
      <c r="B13" s="188"/>
      <c r="C13" s="25" t="s">
        <v>125</v>
      </c>
      <c r="D13" s="25" t="s">
        <v>114</v>
      </c>
    </row>
    <row r="14" customFormat="false" ht="60.4" hidden="false" customHeight="false" outlineLevel="0" collapsed="false">
      <c r="A14" s="218" t="s">
        <v>1078</v>
      </c>
      <c r="B14" s="219" t="s">
        <v>1605</v>
      </c>
      <c r="C14" s="220" t="s">
        <v>1606</v>
      </c>
      <c r="D14" s="220" t="s">
        <v>1607</v>
      </c>
      <c r="F14" s="18" t="s">
        <v>1604</v>
      </c>
    </row>
    <row r="16" customFormat="false" ht="15" hidden="false" customHeight="false" outlineLevel="0" collapsed="false">
      <c r="A16" s="10" t="s">
        <v>1608</v>
      </c>
    </row>
    <row r="18" customFormat="false" ht="15" hidden="false" customHeight="false" outlineLevel="0" collapsed="false">
      <c r="A18" s="10" t="s">
        <v>1609</v>
      </c>
    </row>
    <row r="19" customFormat="false" ht="15" hidden="false" customHeight="false" outlineLevel="0" collapsed="false">
      <c r="A19" s="18"/>
      <c r="B19" s="202"/>
    </row>
    <row r="20" s="42" customFormat="true" ht="30" hidden="false" customHeight="false" outlineLevel="0" collapsed="false">
      <c r="B20" s="221" t="s">
        <v>1610</v>
      </c>
      <c r="C20" s="27"/>
      <c r="D20" s="27"/>
    </row>
    <row r="21" customFormat="false" ht="15" hidden="false" customHeight="false" outlineLevel="0" collapsed="false">
      <c r="A21" s="9" t="s">
        <v>1611</v>
      </c>
      <c r="B21" s="202"/>
    </row>
    <row r="22" customFormat="false" ht="15" hidden="false" customHeight="false" outlineLevel="0" collapsed="false">
      <c r="A22" s="222"/>
      <c r="B22" s="221" t="s">
        <v>1612</v>
      </c>
    </row>
    <row r="25" customFormat="false" ht="15" hidden="false" customHeight="false" outlineLevel="0" collapsed="false">
      <c r="A25" s="223" t="s">
        <v>2</v>
      </c>
      <c r="B25" s="202" t="s">
        <v>1613</v>
      </c>
    </row>
    <row r="27" customFormat="false" ht="15" hidden="false" customHeight="false" outlineLevel="0" collapsed="false">
      <c r="A27" s="18" t="s">
        <v>1614</v>
      </c>
      <c r="B27" s="202" t="s">
        <v>1615</v>
      </c>
    </row>
    <row r="28" customFormat="false" ht="15" hidden="false" customHeight="false" outlineLevel="0" collapsed="false">
      <c r="A28" s="223" t="s">
        <v>1616</v>
      </c>
    </row>
    <row r="29" customFormat="false" ht="15" hidden="false" customHeight="false" outlineLevel="0" collapsed="false">
      <c r="A29" s="202" t="s">
        <v>5</v>
      </c>
      <c r="B29" s="202" t="s">
        <v>1617</v>
      </c>
    </row>
    <row r="31" customFormat="false" ht="15" hidden="false" customHeight="false" outlineLevel="0" collapsed="false">
      <c r="B31" s="202" t="s">
        <v>1618</v>
      </c>
      <c r="C31" s="5"/>
    </row>
  </sheetData>
  <hyperlinks>
    <hyperlink ref="A21" r:id="rId1" display="Gov.uk"/>
    <hyperlink ref="A25" r:id="rId2" location="!/documentation" display="UK Data Archive"/>
    <hyperlink ref="A28" r:id="rId3" display="DWP Sharepoint"/>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P325"/>
  <sheetViews>
    <sheetView showFormulas="false" showGridLines="true" showRowColHeaders="true" showZeros="true" rightToLeft="false" tabSelected="true" showOutlineSymbols="true" defaultGridColor="true" view="normal" topLeftCell="A1" colorId="64" zoomScale="56" zoomScaleNormal="56" zoomScalePageLayoutView="100" workbookViewId="0">
      <pane xSplit="0" ySplit="22" topLeftCell="A265" activePane="bottomLeft" state="frozen"/>
      <selection pane="topLeft" activeCell="A1" activeCellId="0" sqref="A1"/>
      <selection pane="bottomLeft" activeCell="C275" activeCellId="0" sqref="C275:D279"/>
    </sheetView>
  </sheetViews>
  <sheetFormatPr defaultRowHeight="15" zeroHeight="false" outlineLevelRow="0" outlineLevelCol="0"/>
  <cols>
    <col collapsed="false" customWidth="true" hidden="false" outlineLevel="0" max="1" min="1" style="1" width="21.51"/>
    <col collapsed="false" customWidth="true" hidden="false" outlineLevel="0" max="2" min="2" style="1" width="30.22"/>
    <col collapsed="false" customWidth="true" hidden="false" outlineLevel="0" max="3" min="3" style="1" width="27.17"/>
    <col collapsed="false" customWidth="true" hidden="false" outlineLevel="0" max="4" min="4" style="1" width="27.39"/>
    <col collapsed="false" customWidth="true" hidden="false" outlineLevel="0" max="5" min="5" style="1" width="4.44"/>
    <col collapsed="false" customWidth="true" hidden="false" outlineLevel="0" max="6" min="6" style="1" width="17.44"/>
    <col collapsed="false" customWidth="true" hidden="false" outlineLevel="0" max="7" min="7" style="1" width="27.44"/>
    <col collapsed="false" customWidth="true" hidden="false" outlineLevel="0" max="8" min="8" style="1" width="27.94"/>
    <col collapsed="false" customWidth="true" hidden="false" outlineLevel="0" max="9" min="9" style="1" width="8"/>
    <col collapsed="false" customWidth="true" hidden="false" outlineLevel="0" max="10" min="10" style="1" width="19.34"/>
    <col collapsed="false" customWidth="true" hidden="false" outlineLevel="0" max="11" min="11" style="1" width="23.55"/>
    <col collapsed="false" customWidth="true" hidden="false" outlineLevel="0" max="12" min="12" style="1" width="24.66"/>
    <col collapsed="false" customWidth="true" hidden="false" outlineLevel="0" max="1025" min="13" style="1" width="8.89"/>
  </cols>
  <sheetData>
    <row r="1" customFormat="false" ht="15" hidden="false" customHeight="false" outlineLevel="0" collapsed="false">
      <c r="A1" s="224" t="s">
        <v>17</v>
      </c>
      <c r="C1" s="42"/>
    </row>
    <row r="2" customFormat="false" ht="15" hidden="false" customHeight="false" outlineLevel="0" collapsed="false">
      <c r="A2" s="224"/>
      <c r="B2" s="225"/>
      <c r="C2" s="42"/>
    </row>
    <row r="3" customFormat="false" ht="15.4" hidden="false" customHeight="false" outlineLevel="0" collapsed="false">
      <c r="A3" s="225" t="s">
        <v>1619</v>
      </c>
      <c r="B3" s="42"/>
      <c r="C3" s="42"/>
      <c r="F3" s="226"/>
    </row>
    <row r="4" customFormat="false" ht="15.4" hidden="false" customHeight="false" outlineLevel="0" collapsed="false">
      <c r="A4" s="225"/>
      <c r="B4" s="42"/>
      <c r="C4" s="42"/>
      <c r="F4" s="226"/>
    </row>
    <row r="5" customFormat="false" ht="15.4" hidden="false" customHeight="false" outlineLevel="0" collapsed="false">
      <c r="A5" s="227" t="s">
        <v>1620</v>
      </c>
      <c r="B5" s="42"/>
      <c r="C5" s="42"/>
      <c r="F5" s="226"/>
    </row>
    <row r="6" customFormat="false" ht="15.4" hidden="false" customHeight="false" outlineLevel="0" collapsed="false">
      <c r="A6" s="228" t="s">
        <v>1621</v>
      </c>
      <c r="B6" s="42"/>
      <c r="C6" s="229" t="s">
        <v>1622</v>
      </c>
      <c r="F6" s="226"/>
    </row>
    <row r="7" customFormat="false" ht="15.4" hidden="false" customHeight="false" outlineLevel="0" collapsed="false">
      <c r="A7" s="225"/>
      <c r="B7" s="42"/>
      <c r="C7" s="42"/>
      <c r="F7" s="226"/>
    </row>
    <row r="8" customFormat="false" ht="15" hidden="false" customHeight="false" outlineLevel="0" collapsed="false">
      <c r="A8" s="225" t="s">
        <v>1623</v>
      </c>
      <c r="C8" s="42"/>
      <c r="F8" s="230" t="s">
        <v>1624</v>
      </c>
      <c r="J8" s="230" t="s">
        <v>1625</v>
      </c>
    </row>
    <row r="9" customFormat="false" ht="15" hidden="false" customHeight="false" outlineLevel="0" collapsed="false">
      <c r="A9" s="6"/>
      <c r="C9" s="42"/>
      <c r="F9" s="230"/>
      <c r="J9" s="230"/>
    </row>
    <row r="10" customFormat="false" ht="15" hidden="false" customHeight="false" outlineLevel="0" collapsed="false">
      <c r="B10" s="231" t="s">
        <v>1626</v>
      </c>
      <c r="C10" s="232" t="s">
        <v>1627</v>
      </c>
      <c r="D10" s="233"/>
      <c r="E10" s="180"/>
      <c r="F10" s="1" t="s">
        <v>1628</v>
      </c>
      <c r="J10" s="234" t="s">
        <v>1629</v>
      </c>
    </row>
    <row r="11" customFormat="false" ht="15" hidden="false" customHeight="false" outlineLevel="0" collapsed="false">
      <c r="A11" s="12" t="s">
        <v>1630</v>
      </c>
      <c r="B11" s="235" t="s">
        <v>1631</v>
      </c>
      <c r="C11" s="236" t="s">
        <v>1632</v>
      </c>
      <c r="D11" s="237"/>
      <c r="E11" s="238"/>
      <c r="F11" s="1" t="s">
        <v>1633</v>
      </c>
      <c r="J11" s="1" t="s">
        <v>1634</v>
      </c>
    </row>
    <row r="12" customFormat="false" ht="15" hidden="false" customHeight="false" outlineLevel="0" collapsed="false">
      <c r="B12" s="239"/>
      <c r="C12" s="240" t="s">
        <v>1635</v>
      </c>
      <c r="D12" s="241"/>
      <c r="E12" s="238"/>
      <c r="F12" s="1" t="s">
        <v>1636</v>
      </c>
      <c r="J12" s="6" t="s">
        <v>1637</v>
      </c>
    </row>
    <row r="13" customFormat="false" ht="15" hidden="false" customHeight="false" outlineLevel="0" collapsed="false">
      <c r="B13" s="242" t="s">
        <v>1638</v>
      </c>
      <c r="C13" s="243" t="s">
        <v>1639</v>
      </c>
      <c r="D13" s="244"/>
      <c r="E13" s="180"/>
    </row>
    <row r="14" customFormat="false" ht="15" hidden="false" customHeight="true" outlineLevel="0" collapsed="false">
      <c r="B14" s="245"/>
      <c r="C14" s="246" t="s">
        <v>1640</v>
      </c>
      <c r="D14" s="247"/>
      <c r="E14" s="180"/>
      <c r="F14" s="222" t="s">
        <v>1641</v>
      </c>
      <c r="G14" s="248"/>
      <c r="H14" s="248"/>
      <c r="J14" s="42" t="s">
        <v>1642</v>
      </c>
      <c r="K14" s="42"/>
      <c r="L14" s="42"/>
    </row>
    <row r="15" customFormat="false" ht="15" hidden="false" customHeight="false" outlineLevel="0" collapsed="false">
      <c r="E15" s="180"/>
      <c r="F15" s="249"/>
      <c r="G15" s="249"/>
      <c r="H15" s="249"/>
      <c r="J15" s="10" t="s">
        <v>1643</v>
      </c>
      <c r="K15" s="250"/>
      <c r="L15" s="250"/>
    </row>
    <row r="16" customFormat="false" ht="15" hidden="false" customHeight="false" outlineLevel="0" collapsed="false">
      <c r="A16" s="6" t="s">
        <v>1644</v>
      </c>
      <c r="B16" s="236" t="s">
        <v>1645</v>
      </c>
      <c r="C16" s="251" t="s">
        <v>1646</v>
      </c>
      <c r="D16" s="237"/>
      <c r="E16" s="238"/>
      <c r="F16" s="252" t="s">
        <v>1647</v>
      </c>
      <c r="G16" s="253"/>
      <c r="H16" s="253"/>
      <c r="J16" s="250" t="s">
        <v>1648</v>
      </c>
      <c r="K16" s="250"/>
      <c r="L16" s="250"/>
    </row>
    <row r="17" customFormat="false" ht="13.25" hidden="false" customHeight="true" outlineLevel="0" collapsed="false">
      <c r="B17" s="240"/>
      <c r="C17" s="240" t="s">
        <v>1649</v>
      </c>
      <c r="D17" s="241"/>
      <c r="E17" s="238"/>
      <c r="F17" s="252"/>
      <c r="G17" s="253"/>
      <c r="H17" s="253"/>
      <c r="K17" s="250"/>
      <c r="L17" s="250"/>
    </row>
    <row r="18" customFormat="false" ht="16.15" hidden="false" customHeight="true" outlineLevel="0" collapsed="false">
      <c r="B18" s="254" t="s">
        <v>1650</v>
      </c>
      <c r="C18" s="255" t="s">
        <v>1651</v>
      </c>
      <c r="D18" s="256"/>
      <c r="E18" s="180"/>
      <c r="F18" s="257" t="s">
        <v>1652</v>
      </c>
      <c r="G18" s="257"/>
      <c r="H18" s="257"/>
      <c r="J18" s="258" t="s">
        <v>1653</v>
      </c>
      <c r="K18" s="259"/>
      <c r="L18" s="259"/>
    </row>
    <row r="19" customFormat="false" ht="15" hidden="false" customHeight="false" outlineLevel="0" collapsed="false">
      <c r="B19" s="260"/>
      <c r="C19" s="260" t="s">
        <v>1654</v>
      </c>
      <c r="D19" s="247"/>
      <c r="E19" s="180"/>
      <c r="F19" s="257"/>
      <c r="G19" s="257" t="n">
        <v>12</v>
      </c>
      <c r="H19" s="257"/>
      <c r="J19" s="259"/>
      <c r="K19" s="261"/>
      <c r="L19" s="261"/>
    </row>
    <row r="20" customFormat="false" ht="15" hidden="false" customHeight="false" outlineLevel="0" collapsed="false">
      <c r="E20" s="180"/>
      <c r="F20" s="257"/>
      <c r="G20" s="257"/>
      <c r="H20" s="257"/>
      <c r="J20" s="261" t="s">
        <v>1655</v>
      </c>
      <c r="K20" s="261"/>
      <c r="L20" s="261"/>
    </row>
    <row r="21" customFormat="false" ht="15" hidden="false" customHeight="false" outlineLevel="0" collapsed="false">
      <c r="A21" s="225" t="s">
        <v>1656</v>
      </c>
      <c r="B21" s="262" t="s">
        <v>1657</v>
      </c>
      <c r="F21" s="257" t="s">
        <v>1658</v>
      </c>
      <c r="G21" s="257"/>
      <c r="H21" s="257"/>
      <c r="J21" s="261"/>
      <c r="K21" s="261"/>
      <c r="L21" s="261"/>
    </row>
    <row r="22" customFormat="false" ht="15" hidden="false" customHeight="false" outlineLevel="0" collapsed="false">
      <c r="A22" s="263"/>
      <c r="B22" s="18"/>
      <c r="C22" s="18"/>
      <c r="J22" s="261" t="s">
        <v>1659</v>
      </c>
      <c r="K22" s="261"/>
      <c r="L22" s="261"/>
    </row>
    <row r="23" customFormat="false" ht="15.4" hidden="false" customHeight="false" outlineLevel="0" collapsed="false">
      <c r="A23" s="264"/>
      <c r="B23" s="18"/>
      <c r="C23" s="18"/>
      <c r="F23" s="6"/>
      <c r="J23" s="6"/>
      <c r="M23" s="265"/>
    </row>
    <row r="24" customFormat="false" ht="15" hidden="false" customHeight="false" outlineLevel="0" collapsed="false">
      <c r="B24" s="266" t="s">
        <v>1660</v>
      </c>
      <c r="C24" s="267" t="s">
        <v>1661</v>
      </c>
      <c r="D24" s="268" t="s">
        <v>1661</v>
      </c>
      <c r="F24" s="266" t="s">
        <v>1662</v>
      </c>
      <c r="G24" s="269" t="s">
        <v>125</v>
      </c>
      <c r="H24" s="270" t="s">
        <v>114</v>
      </c>
      <c r="J24" s="266" t="s">
        <v>1660</v>
      </c>
      <c r="K24" s="269" t="s">
        <v>121</v>
      </c>
      <c r="L24" s="270" t="s">
        <v>102</v>
      </c>
      <c r="M24" s="271"/>
      <c r="N24" s="272"/>
      <c r="O24" s="272"/>
      <c r="P24" s="180"/>
    </row>
    <row r="25" customFormat="false" ht="15.4" hidden="false" customHeight="false" outlineLevel="0" collapsed="false">
      <c r="B25" s="273"/>
      <c r="C25" s="274" t="s">
        <v>1060</v>
      </c>
      <c r="D25" s="275" t="s">
        <v>1062</v>
      </c>
      <c r="F25" s="273"/>
      <c r="G25" s="276" t="s">
        <v>1060</v>
      </c>
      <c r="H25" s="277" t="s">
        <v>1062</v>
      </c>
      <c r="J25" s="273"/>
      <c r="K25" s="274" t="s">
        <v>1060</v>
      </c>
      <c r="L25" s="278" t="s">
        <v>1062</v>
      </c>
      <c r="M25" s="271"/>
      <c r="N25" s="272"/>
      <c r="O25" s="272"/>
      <c r="P25" s="180"/>
    </row>
    <row r="26" customFormat="false" ht="15" hidden="false" customHeight="false" outlineLevel="0" collapsed="false">
      <c r="B26" s="279" t="n">
        <v>34425</v>
      </c>
      <c r="C26" s="280" t="n">
        <v>64.4</v>
      </c>
      <c r="D26" s="281" t="n">
        <v>67.1</v>
      </c>
      <c r="F26" s="282" t="s">
        <v>1663</v>
      </c>
      <c r="G26" s="283" t="n">
        <f aca="false">ROUND(SUM(C26:C37)/12,1)</f>
        <v>64.8</v>
      </c>
      <c r="H26" s="284" t="n">
        <f aca="false">ROUND(SUM(D26:D37)/12,1)</f>
        <v>67.4</v>
      </c>
      <c r="J26" s="285" t="n">
        <v>34425</v>
      </c>
      <c r="K26" s="286" t="n">
        <f aca="false">($G$26/C26)</f>
        <v>1.00621118012422</v>
      </c>
      <c r="L26" s="287" t="n">
        <f aca="false">($H$26/D26)</f>
        <v>1.00447093889717</v>
      </c>
      <c r="M26" s="180"/>
      <c r="N26" s="272"/>
      <c r="O26" s="272"/>
      <c r="P26" s="180"/>
    </row>
    <row r="27" customFormat="false" ht="15" hidden="false" customHeight="false" outlineLevel="0" collapsed="false">
      <c r="B27" s="288" t="n">
        <v>34455</v>
      </c>
      <c r="C27" s="283" t="n">
        <v>64.7</v>
      </c>
      <c r="D27" s="289" t="n">
        <v>67.4</v>
      </c>
      <c r="F27" s="290" t="s">
        <v>1664</v>
      </c>
      <c r="G27" s="291" t="n">
        <f aca="false">ROUND(SUM(C38:C49)/12,1)</f>
        <v>66.6</v>
      </c>
      <c r="H27" s="291" t="n">
        <f aca="false">ROUND(SUM(D38:D49)/12,1)</f>
        <v>68.9</v>
      </c>
      <c r="J27" s="292" t="n">
        <v>34455</v>
      </c>
      <c r="K27" s="293" t="n">
        <f aca="false">($G$26/C27)</f>
        <v>1.0015455950541</v>
      </c>
      <c r="L27" s="294" t="n">
        <f aca="false">($H$26/D27)</f>
        <v>1</v>
      </c>
      <c r="N27" s="272"/>
      <c r="O27" s="272"/>
      <c r="P27" s="180"/>
    </row>
    <row r="28" customFormat="false" ht="15" hidden="false" customHeight="false" outlineLevel="0" collapsed="false">
      <c r="B28" s="288" t="n">
        <v>34486</v>
      </c>
      <c r="C28" s="283" t="n">
        <v>64.6</v>
      </c>
      <c r="D28" s="289" t="n">
        <v>67.3</v>
      </c>
      <c r="F28" s="290" t="s">
        <v>1665</v>
      </c>
      <c r="G28" s="295" t="n">
        <f aca="false">ROUND(SUM(C50:C61)/12,1)</f>
        <v>67.8</v>
      </c>
      <c r="H28" s="291" t="n">
        <f aca="false">ROUND(SUM(D50:D61)/12,1)</f>
        <v>70.3</v>
      </c>
      <c r="J28" s="292" t="n">
        <v>34486</v>
      </c>
      <c r="K28" s="293" t="n">
        <f aca="false">($G$26/C28)</f>
        <v>1.0030959752322</v>
      </c>
      <c r="L28" s="294" t="n">
        <f aca="false">($H$26/D28)</f>
        <v>1.00148588410104</v>
      </c>
      <c r="N28" s="272"/>
      <c r="O28" s="272"/>
      <c r="P28" s="180"/>
    </row>
    <row r="29" customFormat="false" ht="15" hidden="false" customHeight="false" outlineLevel="0" collapsed="false">
      <c r="B29" s="288" t="n">
        <v>34516</v>
      </c>
      <c r="C29" s="283" t="n">
        <v>64.3</v>
      </c>
      <c r="D29" s="289" t="n">
        <v>66.9</v>
      </c>
      <c r="F29" s="290" t="s">
        <v>420</v>
      </c>
      <c r="G29" s="291" t="n">
        <f aca="false">ROUND(SUM(C62:C73)/12,1)</f>
        <v>69.6</v>
      </c>
      <c r="H29" s="296" t="n">
        <f aca="false">ROUND(SUM(D62:D73)/12,1)</f>
        <v>71.4</v>
      </c>
      <c r="J29" s="292" t="n">
        <v>34516</v>
      </c>
      <c r="K29" s="293" t="n">
        <f aca="false">($G$26/C29)</f>
        <v>1.00777604976672</v>
      </c>
      <c r="L29" s="294" t="n">
        <f aca="false">($H$26/D29)</f>
        <v>1.00747384155456</v>
      </c>
      <c r="N29" s="272"/>
      <c r="O29" s="272"/>
      <c r="P29" s="180"/>
    </row>
    <row r="30" customFormat="false" ht="15" hidden="false" customHeight="false" outlineLevel="0" collapsed="false">
      <c r="B30" s="288" t="n">
        <v>34547</v>
      </c>
      <c r="C30" s="283" t="n">
        <v>64.6</v>
      </c>
      <c r="D30" s="289" t="n">
        <v>67.2</v>
      </c>
      <c r="F30" s="290" t="s">
        <v>1666</v>
      </c>
      <c r="G30" s="291" t="n">
        <f aca="false">ROUND(SUM(C74:C85)/12,1)</f>
        <v>71.3</v>
      </c>
      <c r="H30" s="296" t="n">
        <f aca="false">ROUND(SUM(D74:D85)/12,1)</f>
        <v>72.3</v>
      </c>
      <c r="J30" s="292" t="n">
        <v>34547</v>
      </c>
      <c r="K30" s="293" t="n">
        <f aca="false">($G$26/C30)</f>
        <v>1.0030959752322</v>
      </c>
      <c r="L30" s="294" t="n">
        <f aca="false">($H$26/D30)</f>
        <v>1.00297619047619</v>
      </c>
      <c r="N30" s="272"/>
      <c r="O30" s="272"/>
      <c r="P30" s="180"/>
    </row>
    <row r="31" customFormat="false" ht="15" hidden="false" customHeight="false" outlineLevel="0" collapsed="false">
      <c r="B31" s="288" t="n">
        <v>34578</v>
      </c>
      <c r="C31" s="283" t="n">
        <v>64.7</v>
      </c>
      <c r="D31" s="289" t="n">
        <v>67.3</v>
      </c>
      <c r="F31" s="290" t="s">
        <v>1667</v>
      </c>
      <c r="G31" s="291" t="n">
        <f aca="false">ROUND(SUM(C86:C97)/12,1)</f>
        <v>71.9</v>
      </c>
      <c r="H31" s="291" t="n">
        <f aca="false">ROUND(SUM(D86:D97)/12,1)</f>
        <v>73</v>
      </c>
      <c r="J31" s="292" t="n">
        <v>34578</v>
      </c>
      <c r="K31" s="293" t="n">
        <f aca="false">($G$26/C31)</f>
        <v>1.0015455950541</v>
      </c>
      <c r="L31" s="294" t="n">
        <f aca="false">($H$26/D31)</f>
        <v>1.00148588410104</v>
      </c>
      <c r="N31" s="272"/>
      <c r="O31" s="272"/>
      <c r="P31" s="180"/>
    </row>
    <row r="32" customFormat="false" ht="15" hidden="false" customHeight="false" outlineLevel="0" collapsed="false">
      <c r="B32" s="288" t="n">
        <v>34608</v>
      </c>
      <c r="C32" s="283" t="n">
        <v>64.7</v>
      </c>
      <c r="D32" s="297" t="n">
        <v>67.2</v>
      </c>
      <c r="F32" s="290" t="s">
        <v>1668</v>
      </c>
      <c r="G32" s="291" t="n">
        <f aca="false">ROUND(SUM(C98:C109)/12,1)</f>
        <v>73.4</v>
      </c>
      <c r="H32" s="296" t="n">
        <f aca="false">ROUND(SUM(D98:D109)/12,1)</f>
        <v>73.5</v>
      </c>
      <c r="J32" s="292" t="n">
        <v>34608</v>
      </c>
      <c r="K32" s="293" t="n">
        <f aca="false">($G$26/C32)</f>
        <v>1.0015455950541</v>
      </c>
      <c r="L32" s="298" t="n">
        <f aca="false">($H$26/D32)</f>
        <v>1.00297619047619</v>
      </c>
      <c r="N32" s="272"/>
      <c r="O32" s="272"/>
      <c r="P32" s="180"/>
    </row>
    <row r="33" customFormat="false" ht="15" hidden="false" customHeight="false" outlineLevel="0" collapsed="false">
      <c r="B33" s="288" t="n">
        <v>34639</v>
      </c>
      <c r="C33" s="283" t="n">
        <v>64.8</v>
      </c>
      <c r="D33" s="289" t="n">
        <v>67.2</v>
      </c>
      <c r="F33" s="290" t="s">
        <v>1669</v>
      </c>
      <c r="G33" s="291" t="n">
        <f aca="false">ROUND(SUM(C110:C121)/12,1)</f>
        <v>73.9</v>
      </c>
      <c r="H33" s="296" t="n">
        <f aca="false">ROUND(SUM(D110:D121)/12,1)</f>
        <v>74.5</v>
      </c>
      <c r="J33" s="292" t="n">
        <v>34639</v>
      </c>
      <c r="K33" s="293" t="n">
        <f aca="false">($G$26/C33)</f>
        <v>1</v>
      </c>
      <c r="L33" s="294" t="n">
        <f aca="false">($H$26/D33)</f>
        <v>1.00297619047619</v>
      </c>
      <c r="N33" s="272"/>
      <c r="O33" s="272"/>
      <c r="P33" s="180"/>
    </row>
    <row r="34" customFormat="false" ht="15" hidden="false" customHeight="false" outlineLevel="0" collapsed="false">
      <c r="B34" s="288" t="n">
        <v>34669</v>
      </c>
      <c r="C34" s="283" t="n">
        <v>65</v>
      </c>
      <c r="D34" s="289" t="n">
        <v>67.5</v>
      </c>
      <c r="F34" s="290" t="s">
        <v>997</v>
      </c>
      <c r="G34" s="291" t="n">
        <f aca="false">ROUND(SUM(C122:C133)/12,1)</f>
        <v>74.7</v>
      </c>
      <c r="H34" s="296" t="n">
        <f aca="false">ROUND(SUM(D122:D133)/12,1)</f>
        <v>75.3</v>
      </c>
      <c r="J34" s="292" t="n">
        <v>34669</v>
      </c>
      <c r="K34" s="293" t="n">
        <f aca="false">($G$26/C34)</f>
        <v>0.996923076923077</v>
      </c>
      <c r="L34" s="294" t="n">
        <f aca="false">($H$26/D34)</f>
        <v>0.998518518518519</v>
      </c>
      <c r="N34" s="272"/>
      <c r="O34" s="272"/>
      <c r="P34" s="180"/>
    </row>
    <row r="35" customFormat="false" ht="15" hidden="false" customHeight="false" outlineLevel="0" collapsed="false">
      <c r="B35" s="288" t="n">
        <v>34700</v>
      </c>
      <c r="C35" s="283" t="n">
        <v>65</v>
      </c>
      <c r="D35" s="289" t="n">
        <v>67.5</v>
      </c>
      <c r="F35" s="290" t="s">
        <v>1670</v>
      </c>
      <c r="G35" s="291" t="n">
        <f aca="false">ROUND(SUM(C134:C145)/12,1)</f>
        <v>75.8</v>
      </c>
      <c r="H35" s="296" t="n">
        <f aca="false">ROUND(SUM(D134:D145)/12,1)</f>
        <v>76.3</v>
      </c>
      <c r="J35" s="292" t="n">
        <v>34700</v>
      </c>
      <c r="K35" s="293" t="n">
        <f aca="false">($G$26/C35)</f>
        <v>0.996923076923077</v>
      </c>
      <c r="L35" s="294" t="n">
        <f aca="false">($H$26/D35)</f>
        <v>0.998518518518519</v>
      </c>
      <c r="N35" s="272"/>
      <c r="O35" s="272"/>
      <c r="P35" s="180"/>
    </row>
    <row r="36" customFormat="false" ht="15" hidden="false" customHeight="false" outlineLevel="0" collapsed="false">
      <c r="B36" s="288" t="n">
        <v>34731</v>
      </c>
      <c r="C36" s="283" t="n">
        <v>65.4</v>
      </c>
      <c r="D36" s="289" t="n">
        <v>67.9</v>
      </c>
      <c r="F36" s="290" t="s">
        <v>1671</v>
      </c>
      <c r="G36" s="291" t="n">
        <f aca="false">ROUND(SUM(C146:C157)/12,1)</f>
        <v>77.6</v>
      </c>
      <c r="H36" s="296" t="n">
        <f aca="false">ROUND(SUM(D146:D157)/12,1)</f>
        <v>77.3</v>
      </c>
      <c r="J36" s="292" t="n">
        <v>34731</v>
      </c>
      <c r="K36" s="293" t="n">
        <f aca="false">($G$26/C36)</f>
        <v>0.990825688073394</v>
      </c>
      <c r="L36" s="294" t="n">
        <f aca="false">($H$26/D36)</f>
        <v>0.992636229749632</v>
      </c>
      <c r="N36" s="272"/>
      <c r="O36" s="272"/>
      <c r="P36" s="180"/>
    </row>
    <row r="37" customFormat="false" ht="15.4" hidden="false" customHeight="false" outlineLevel="0" collapsed="false">
      <c r="B37" s="299" t="n">
        <v>34759</v>
      </c>
      <c r="C37" s="300" t="n">
        <v>65.6</v>
      </c>
      <c r="D37" s="301" t="n">
        <v>68.2</v>
      </c>
      <c r="F37" s="290" t="s">
        <v>1672</v>
      </c>
      <c r="G37" s="291" t="n">
        <f aca="false">ROUND(SUM(C158:C169)/12,1)</f>
        <v>79.5</v>
      </c>
      <c r="H37" s="296" t="n">
        <f aca="false">ROUND(SUM(D158:D169)/12,1)</f>
        <v>78.8</v>
      </c>
      <c r="J37" s="302" t="n">
        <v>34759</v>
      </c>
      <c r="K37" s="303" t="n">
        <f aca="false">($G$26/C37)</f>
        <v>0.98780487804878</v>
      </c>
      <c r="L37" s="304" t="n">
        <f aca="false">($H$26/D37)</f>
        <v>0.988269794721408</v>
      </c>
      <c r="N37" s="272"/>
      <c r="O37" s="272"/>
      <c r="P37" s="180"/>
    </row>
    <row r="38" customFormat="false" ht="15" hidden="false" customHeight="false" outlineLevel="0" collapsed="false">
      <c r="B38" s="305" t="n">
        <v>34790</v>
      </c>
      <c r="C38" s="306" t="n">
        <v>66.2</v>
      </c>
      <c r="D38" s="281" t="n">
        <v>68.4</v>
      </c>
      <c r="F38" s="290" t="s">
        <v>1673</v>
      </c>
      <c r="G38" s="291" t="n">
        <f aca="false">ROUND(SUM(C170:C181)/12,1)</f>
        <v>81.9</v>
      </c>
      <c r="H38" s="296" t="n">
        <f aca="false">ROUND(SUM(D170:D181)/12,1)</f>
        <v>80.8</v>
      </c>
      <c r="J38" s="307" t="n">
        <v>34790</v>
      </c>
      <c r="K38" s="286" t="n">
        <f aca="false">($G$27/C38)</f>
        <v>1.00604229607251</v>
      </c>
      <c r="L38" s="287" t="n">
        <f aca="false">($H$27/D38)</f>
        <v>1.00730994152047</v>
      </c>
      <c r="N38" s="272"/>
      <c r="O38" s="272"/>
      <c r="P38" s="180"/>
    </row>
    <row r="39" customFormat="false" ht="15" hidden="false" customHeight="false" outlineLevel="0" collapsed="false">
      <c r="B39" s="288" t="n">
        <v>34820</v>
      </c>
      <c r="C39" s="308" t="n">
        <v>66.5</v>
      </c>
      <c r="D39" s="289" t="n">
        <v>68.8</v>
      </c>
      <c r="F39" s="290" t="s">
        <v>1674</v>
      </c>
      <c r="G39" s="291" t="n">
        <f aca="false">ROUND(SUM(C182:C193)/12,1)</f>
        <v>84.5</v>
      </c>
      <c r="H39" s="296" t="n">
        <f aca="false">ROUND(SUM(D182:D193)/12,1)</f>
        <v>82.4</v>
      </c>
      <c r="J39" s="292" t="n">
        <v>34820</v>
      </c>
      <c r="K39" s="293" t="n">
        <f aca="false">($G$27/C39)</f>
        <v>1.0015037593985</v>
      </c>
      <c r="L39" s="294" t="n">
        <f aca="false">($H$27/D39)</f>
        <v>1.00145348837209</v>
      </c>
      <c r="N39" s="309"/>
      <c r="O39" s="309"/>
      <c r="P39" s="180"/>
    </row>
    <row r="40" customFormat="false" ht="15" hidden="false" customHeight="false" outlineLevel="0" collapsed="false">
      <c r="B40" s="288" t="n">
        <v>34851</v>
      </c>
      <c r="C40" s="308" t="n">
        <v>66.5</v>
      </c>
      <c r="D40" s="289" t="n">
        <v>68.7</v>
      </c>
      <c r="F40" s="290" t="s">
        <v>1675</v>
      </c>
      <c r="G40" s="291" t="n">
        <f aca="false">ROUND(SUM(C194:C205)/12,1)</f>
        <v>87</v>
      </c>
      <c r="H40" s="296" t="n">
        <f aca="false">ROUND(SUM(D194:D205)/12,1)</f>
        <v>85.5</v>
      </c>
      <c r="J40" s="292" t="n">
        <v>34851</v>
      </c>
      <c r="K40" s="293" t="n">
        <f aca="false">($G$27/C40)</f>
        <v>1.0015037593985</v>
      </c>
      <c r="L40" s="294" t="n">
        <f aca="false">($H$27/D40)</f>
        <v>1.00291120815138</v>
      </c>
      <c r="N40" s="309"/>
      <c r="O40" s="309"/>
      <c r="P40" s="180"/>
    </row>
    <row r="41" customFormat="false" ht="15" hidden="false" customHeight="false" outlineLevel="0" collapsed="false">
      <c r="B41" s="288" t="n">
        <v>34881</v>
      </c>
      <c r="C41" s="308" t="n">
        <v>66.2</v>
      </c>
      <c r="D41" s="289" t="n">
        <v>68.3</v>
      </c>
      <c r="F41" s="290" t="s">
        <v>1676</v>
      </c>
      <c r="G41" s="310" t="n">
        <f aca="false">ROUND(SUM(C206:C217)/12,1)</f>
        <v>87.4</v>
      </c>
      <c r="H41" s="290" t="n">
        <f aca="false">ROUND(SUM(D206:D217)/12,1)</f>
        <v>87.4</v>
      </c>
      <c r="J41" s="292" t="n">
        <v>34881</v>
      </c>
      <c r="K41" s="293" t="n">
        <f aca="false">($G$27/C41)</f>
        <v>1.00604229607251</v>
      </c>
      <c r="L41" s="294" t="n">
        <f aca="false">($H$27/D41)</f>
        <v>1.00878477306003</v>
      </c>
      <c r="N41" s="309"/>
      <c r="O41" s="309"/>
      <c r="P41" s="180"/>
    </row>
    <row r="42" customFormat="false" ht="15" hidden="false" customHeight="false" outlineLevel="0" collapsed="false">
      <c r="B42" s="288" t="n">
        <v>34912</v>
      </c>
      <c r="C42" s="308" t="n">
        <v>66.5</v>
      </c>
      <c r="D42" s="289" t="n">
        <v>68.7</v>
      </c>
      <c r="F42" s="290" t="s">
        <v>812</v>
      </c>
      <c r="G42" s="310" t="n">
        <f aca="false">ROUND(SUM(C218:C229)/12,1)</f>
        <v>90.5</v>
      </c>
      <c r="H42" s="290" t="n">
        <f aca="false">ROUND(SUM(D218:D229)/12,1)</f>
        <v>90.6</v>
      </c>
      <c r="J42" s="292" t="n">
        <v>34912</v>
      </c>
      <c r="K42" s="293" t="n">
        <f aca="false">($G$27/C42)</f>
        <v>1.0015037593985</v>
      </c>
      <c r="L42" s="294" t="n">
        <f aca="false">($H$27/D42)</f>
        <v>1.00291120815138</v>
      </c>
      <c r="N42" s="309"/>
      <c r="O42" s="309"/>
      <c r="P42" s="180"/>
    </row>
    <row r="43" customFormat="false" ht="15" hidden="false" customHeight="false" outlineLevel="0" collapsed="false">
      <c r="B43" s="288" t="n">
        <v>34943</v>
      </c>
      <c r="C43" s="308" t="n">
        <v>66.8</v>
      </c>
      <c r="D43" s="289" t="n">
        <v>69.1</v>
      </c>
      <c r="F43" s="290" t="s">
        <v>1677</v>
      </c>
      <c r="G43" s="310" t="n">
        <f aca="false">ROUND(SUM(C230:C241)/12,1)</f>
        <v>94.3</v>
      </c>
      <c r="H43" s="290" t="n">
        <f aca="false">ROUND(SUM(D230:D241)/12,1)</f>
        <v>94.5</v>
      </c>
      <c r="J43" s="292" t="n">
        <v>34943</v>
      </c>
      <c r="K43" s="293" t="n">
        <f aca="false">($G$27/C43)</f>
        <v>0.997005988023952</v>
      </c>
      <c r="L43" s="294" t="n">
        <f aca="false">($H$27/D43)</f>
        <v>0.997105643994211</v>
      </c>
      <c r="N43" s="309"/>
      <c r="O43" s="309"/>
      <c r="P43" s="180"/>
    </row>
    <row r="44" customFormat="false" ht="15" hidden="false" customHeight="false" outlineLevel="0" collapsed="false">
      <c r="B44" s="288" t="n">
        <v>34973</v>
      </c>
      <c r="C44" s="308" t="n">
        <v>66.4</v>
      </c>
      <c r="D44" s="289" t="n">
        <v>68.8</v>
      </c>
      <c r="F44" s="290" t="s">
        <v>1678</v>
      </c>
      <c r="G44" s="310" t="n">
        <f aca="false">ROUND(SUM(C242:C253)/12,1)</f>
        <v>96.8</v>
      </c>
      <c r="H44" s="290" t="n">
        <f aca="false">ROUND(SUM(D242:D253)/12,1)</f>
        <v>97</v>
      </c>
      <c r="J44" s="292" t="n">
        <v>34973</v>
      </c>
      <c r="K44" s="293" t="n">
        <f aca="false">($G$27/C44)</f>
        <v>1.00301204819277</v>
      </c>
      <c r="L44" s="294" t="n">
        <f aca="false">($H$27/D44)</f>
        <v>1.00145348837209</v>
      </c>
      <c r="N44" s="309"/>
      <c r="O44" s="309"/>
      <c r="P44" s="180"/>
    </row>
    <row r="45" customFormat="false" ht="15" hidden="false" customHeight="false" outlineLevel="0" collapsed="false">
      <c r="B45" s="288" t="n">
        <v>35004</v>
      </c>
      <c r="C45" s="308" t="n">
        <v>66.4</v>
      </c>
      <c r="D45" s="289" t="n">
        <v>68.8</v>
      </c>
      <c r="F45" s="290" t="s">
        <v>1679</v>
      </c>
      <c r="G45" s="310" t="n">
        <f aca="false">ROUND(SUM(C254:C265)/12,1)</f>
        <v>99</v>
      </c>
      <c r="H45" s="290" t="n">
        <f aca="false">ROUND(SUM(D254:D265)/12,1)</f>
        <v>99.2</v>
      </c>
      <c r="J45" s="292" t="n">
        <v>35004</v>
      </c>
      <c r="K45" s="293" t="n">
        <f aca="false">($G$27/C45)</f>
        <v>1.00301204819277</v>
      </c>
      <c r="L45" s="294" t="n">
        <f aca="false">($H$27/D45)</f>
        <v>1.00145348837209</v>
      </c>
      <c r="N45" s="309"/>
      <c r="O45" s="309"/>
      <c r="P45" s="180"/>
    </row>
    <row r="46" customFormat="false" ht="15" hidden="false" customHeight="false" outlineLevel="0" collapsed="false">
      <c r="B46" s="288" t="n">
        <v>35034</v>
      </c>
      <c r="C46" s="308" t="n">
        <v>66.8</v>
      </c>
      <c r="D46" s="289" t="n">
        <v>69.2</v>
      </c>
      <c r="F46" s="290" t="s">
        <v>107</v>
      </c>
      <c r="G46" s="310" t="n">
        <f aca="false">ROUND(SUM(C266:C277)/12,1)</f>
        <v>100</v>
      </c>
      <c r="H46" s="290" t="n">
        <f aca="false">ROUND(SUM(D266:D277)/12,1)</f>
        <v>100.1</v>
      </c>
      <c r="J46" s="292" t="n">
        <v>35034</v>
      </c>
      <c r="K46" s="293" t="n">
        <f aca="false">($G$27/C46)</f>
        <v>0.997005988023952</v>
      </c>
      <c r="L46" s="294" t="n">
        <f aca="false">($H$27/D46)</f>
        <v>0.995664739884393</v>
      </c>
      <c r="N46" s="309"/>
      <c r="O46" s="309"/>
      <c r="P46" s="180"/>
    </row>
    <row r="47" customFormat="false" ht="15" hidden="false" customHeight="false" outlineLevel="0" collapsed="false">
      <c r="B47" s="288" t="n">
        <v>35065</v>
      </c>
      <c r="C47" s="308" t="n">
        <v>66.5</v>
      </c>
      <c r="D47" s="289" t="n">
        <v>69</v>
      </c>
      <c r="F47" s="290" t="s">
        <v>1680</v>
      </c>
      <c r="G47" s="310" t="n">
        <f aca="false">ROUND(SUM(C278:C289)/12,1)</f>
        <v>100.1</v>
      </c>
      <c r="H47" s="290" t="n">
        <f aca="false">ROUND(SUM(D278:D289)/12,1)</f>
        <v>100.1</v>
      </c>
      <c r="J47" s="292" t="n">
        <v>35065</v>
      </c>
      <c r="K47" s="293" t="n">
        <f aca="false">($G$27/C47)</f>
        <v>1.0015037593985</v>
      </c>
      <c r="L47" s="294" t="n">
        <f aca="false">($H$27/D47)</f>
        <v>0.998550724637681</v>
      </c>
      <c r="N47" s="311"/>
      <c r="O47" s="311"/>
      <c r="P47" s="180"/>
    </row>
    <row r="48" customFormat="false" ht="15" hidden="false" customHeight="false" outlineLevel="0" collapsed="false">
      <c r="B48" s="288" t="n">
        <v>35096</v>
      </c>
      <c r="C48" s="308" t="n">
        <v>66.8</v>
      </c>
      <c r="D48" s="289" t="n">
        <v>69.3</v>
      </c>
      <c r="F48" s="290" t="s">
        <v>1681</v>
      </c>
      <c r="G48" s="310" t="n">
        <f aca="false">ROUND(SUM(C290:C301)/12,1)</f>
        <v>101</v>
      </c>
      <c r="H48" s="310" t="n">
        <f aca="false">ROUND(SUM(D290:D301)/12,1)</f>
        <v>101.1</v>
      </c>
      <c r="J48" s="292" t="n">
        <v>35096</v>
      </c>
      <c r="K48" s="293" t="n">
        <f aca="false">($G$27/C48)</f>
        <v>0.997005988023952</v>
      </c>
      <c r="L48" s="294" t="n">
        <f aca="false">($H$27/D48)</f>
        <v>0.994227994227994</v>
      </c>
      <c r="N48" s="180"/>
      <c r="O48" s="180"/>
      <c r="P48" s="180"/>
    </row>
    <row r="49" customFormat="false" ht="15.4" hidden="false" customHeight="false" outlineLevel="0" collapsed="false">
      <c r="B49" s="299" t="n">
        <v>35125</v>
      </c>
      <c r="C49" s="312" t="n">
        <v>67</v>
      </c>
      <c r="D49" s="301" t="n">
        <v>69.6</v>
      </c>
      <c r="F49" s="290" t="s">
        <v>1682</v>
      </c>
      <c r="G49" s="313" t="n">
        <f aca="false">ROUND(SUM(C302:C313)/12,1)</f>
        <v>103.7</v>
      </c>
      <c r="H49" s="290" t="n">
        <f aca="false">ROUND(SUM(D302:D313)/12,1)</f>
        <v>104.2</v>
      </c>
      <c r="J49" s="302" t="n">
        <v>35125</v>
      </c>
      <c r="K49" s="303" t="n">
        <f aca="false">($G$27/C49)</f>
        <v>0.994029850746269</v>
      </c>
      <c r="L49" s="304" t="n">
        <f aca="false">($H$27/D49)</f>
        <v>0.989942528735632</v>
      </c>
    </row>
    <row r="50" customFormat="false" ht="15" hidden="false" customHeight="false" outlineLevel="0" collapsed="false">
      <c r="B50" s="305" t="n">
        <v>35156</v>
      </c>
      <c r="C50" s="306" t="n">
        <v>67.4</v>
      </c>
      <c r="D50" s="281" t="n">
        <v>69.9</v>
      </c>
      <c r="F50" s="290" t="s">
        <v>1683</v>
      </c>
      <c r="G50" s="314" t="n">
        <f aca="false">ROUND(SUM(C314:C325)/12,1)</f>
        <v>106.2</v>
      </c>
      <c r="H50" s="315" t="n">
        <f aca="false">ROUND(SUM(D314:D325)/12,1)</f>
        <v>106.7</v>
      </c>
      <c r="J50" s="285" t="n">
        <v>35156</v>
      </c>
      <c r="K50" s="316" t="n">
        <f aca="false">($G$28/C50)</f>
        <v>1.00593471810089</v>
      </c>
      <c r="L50" s="317" t="n">
        <f aca="false">($H$28/D50)</f>
        <v>1.00572246065808</v>
      </c>
    </row>
    <row r="51" customFormat="false" ht="15" hidden="false" customHeight="false" outlineLevel="0" collapsed="false">
      <c r="B51" s="288" t="n">
        <v>35186</v>
      </c>
      <c r="C51" s="308" t="n">
        <v>67.5</v>
      </c>
      <c r="D51" s="289" t="n">
        <v>70.1</v>
      </c>
      <c r="G51" s="318" t="s">
        <v>123</v>
      </c>
      <c r="H51" s="318" t="s">
        <v>112</v>
      </c>
      <c r="J51" s="292" t="n">
        <v>35186</v>
      </c>
      <c r="K51" s="319" t="n">
        <f aca="false">($G$28/C51)</f>
        <v>1.00444444444444</v>
      </c>
      <c r="L51" s="320" t="n">
        <f aca="false">($H$28/D51)</f>
        <v>1.00285306704708</v>
      </c>
    </row>
    <row r="52" customFormat="false" ht="15" hidden="false" customHeight="false" outlineLevel="0" collapsed="false">
      <c r="B52" s="288" t="n">
        <v>35217</v>
      </c>
      <c r="C52" s="308" t="n">
        <v>67.5</v>
      </c>
      <c r="D52" s="289" t="n">
        <v>70.2</v>
      </c>
      <c r="J52" s="292" t="n">
        <v>35217</v>
      </c>
      <c r="K52" s="319" t="n">
        <f aca="false">($G$28/C52)</f>
        <v>1.00444444444444</v>
      </c>
      <c r="L52" s="320" t="n">
        <f aca="false">($H$28/D52)</f>
        <v>1.0014245014245</v>
      </c>
    </row>
    <row r="53" customFormat="false" ht="15" hidden="false" customHeight="false" outlineLevel="0" collapsed="false">
      <c r="B53" s="288" t="n">
        <v>35247</v>
      </c>
      <c r="C53" s="308" t="n">
        <v>67.2</v>
      </c>
      <c r="D53" s="289" t="n">
        <v>69.6</v>
      </c>
      <c r="F53" s="321"/>
      <c r="G53" s="318" t="s">
        <v>1684</v>
      </c>
      <c r="H53" s="318" t="s">
        <v>1685</v>
      </c>
      <c r="J53" s="292" t="n">
        <v>35247</v>
      </c>
      <c r="K53" s="319" t="n">
        <f aca="false">($G$28/C53)</f>
        <v>1.00892857142857</v>
      </c>
      <c r="L53" s="320" t="n">
        <f aca="false">($H$28/D53)</f>
        <v>1.01005747126437</v>
      </c>
    </row>
    <row r="54" customFormat="false" ht="15" hidden="false" customHeight="false" outlineLevel="0" collapsed="false">
      <c r="B54" s="288" t="n">
        <v>35278</v>
      </c>
      <c r="C54" s="308" t="n">
        <v>67.5</v>
      </c>
      <c r="D54" s="289" t="n">
        <v>70</v>
      </c>
      <c r="G54" s="318" t="s">
        <v>1686</v>
      </c>
      <c r="H54" s="318" t="s">
        <v>1686</v>
      </c>
      <c r="J54" s="292" t="n">
        <v>35278</v>
      </c>
      <c r="K54" s="319" t="n">
        <f aca="false">($G$28/C54)</f>
        <v>1.00444444444444</v>
      </c>
      <c r="L54" s="320" t="n">
        <f aca="false">($H$28/D54)</f>
        <v>1.00428571428571</v>
      </c>
    </row>
    <row r="55" customFormat="false" ht="15" hidden="false" customHeight="false" outlineLevel="0" collapsed="false">
      <c r="B55" s="288" t="n">
        <v>35309</v>
      </c>
      <c r="C55" s="308" t="n">
        <v>67.8</v>
      </c>
      <c r="D55" s="289" t="n">
        <v>70.4</v>
      </c>
      <c r="F55" s="321"/>
      <c r="J55" s="292" t="n">
        <v>35309</v>
      </c>
      <c r="K55" s="319" t="n">
        <f aca="false">($G$28/C55)</f>
        <v>1</v>
      </c>
      <c r="L55" s="320" t="n">
        <f aca="false">($H$28/D55)</f>
        <v>0.998579545454545</v>
      </c>
    </row>
    <row r="56" customFormat="false" ht="15" hidden="false" customHeight="false" outlineLevel="0" collapsed="false">
      <c r="B56" s="288" t="n">
        <v>35339</v>
      </c>
      <c r="C56" s="308" t="n">
        <v>67.8</v>
      </c>
      <c r="D56" s="289" t="n">
        <v>70.4</v>
      </c>
      <c r="J56" s="292" t="n">
        <v>35339</v>
      </c>
      <c r="K56" s="319" t="n">
        <f aca="false">($G$28/C56)</f>
        <v>1</v>
      </c>
      <c r="L56" s="320" t="n">
        <f aca="false">($H$28/D56)</f>
        <v>0.998579545454545</v>
      </c>
    </row>
    <row r="57" customFormat="false" ht="15" hidden="false" customHeight="false" outlineLevel="0" collapsed="false">
      <c r="B57" s="288" t="n">
        <v>35370</v>
      </c>
      <c r="C57" s="308" t="n">
        <v>67.8</v>
      </c>
      <c r="D57" s="289" t="n">
        <v>70.4</v>
      </c>
      <c r="F57" s="12" t="s">
        <v>1687</v>
      </c>
      <c r="G57" s="12"/>
      <c r="H57" s="12"/>
      <c r="I57" s="12"/>
      <c r="J57" s="292" t="n">
        <v>35370</v>
      </c>
      <c r="K57" s="319" t="n">
        <f aca="false">($G$28/C57)</f>
        <v>1</v>
      </c>
      <c r="L57" s="320" t="n">
        <f aca="false">($H$28/D57)</f>
        <v>0.998579545454545</v>
      </c>
    </row>
    <row r="58" customFormat="false" ht="15" hidden="false" customHeight="false" outlineLevel="0" collapsed="false">
      <c r="B58" s="288" t="n">
        <v>35400</v>
      </c>
      <c r="C58" s="308" t="n">
        <v>68</v>
      </c>
      <c r="D58" s="289" t="n">
        <v>70.7</v>
      </c>
      <c r="F58" s="322"/>
      <c r="G58" s="42"/>
      <c r="H58" s="42"/>
      <c r="I58" s="42"/>
      <c r="J58" s="292" t="n">
        <v>35400</v>
      </c>
      <c r="K58" s="319" t="n">
        <f aca="false">($G$28/C58)</f>
        <v>0.997058823529412</v>
      </c>
      <c r="L58" s="320" t="n">
        <f aca="false">($H$28/D58)</f>
        <v>0.994342291371994</v>
      </c>
    </row>
    <row r="59" customFormat="false" ht="15" hidden="false" customHeight="false" outlineLevel="0" collapsed="false">
      <c r="B59" s="288" t="n">
        <v>35431</v>
      </c>
      <c r="C59" s="308" t="n">
        <v>67.9</v>
      </c>
      <c r="D59" s="289" t="n">
        <v>70.3</v>
      </c>
      <c r="F59" s="222" t="s">
        <v>1688</v>
      </c>
      <c r="G59" s="222"/>
      <c r="H59" s="222"/>
      <c r="I59" s="222"/>
      <c r="J59" s="292" t="n">
        <v>35431</v>
      </c>
      <c r="K59" s="319" t="n">
        <f aca="false">($G$28/C59)</f>
        <v>0.998527245949926</v>
      </c>
      <c r="L59" s="320" t="n">
        <f aca="false">($H$28/D59)</f>
        <v>1</v>
      </c>
    </row>
    <row r="60" customFormat="false" ht="15" hidden="false" customHeight="false" outlineLevel="0" collapsed="false">
      <c r="B60" s="288" t="n">
        <v>35462</v>
      </c>
      <c r="C60" s="308" t="n">
        <v>68.2</v>
      </c>
      <c r="D60" s="289" t="n">
        <v>70.5</v>
      </c>
      <c r="F60" s="222" t="s">
        <v>1689</v>
      </c>
      <c r="G60" s="42"/>
      <c r="H60" s="42"/>
      <c r="I60" s="42"/>
      <c r="J60" s="292" t="n">
        <v>35462</v>
      </c>
      <c r="K60" s="319" t="n">
        <f aca="false">($G$28/C60)</f>
        <v>0.994134897360704</v>
      </c>
      <c r="L60" s="320" t="n">
        <f aca="false">($H$28/D60)</f>
        <v>0.997163120567376</v>
      </c>
    </row>
    <row r="61" customFormat="false" ht="15.4" hidden="false" customHeight="false" outlineLevel="0" collapsed="false">
      <c r="B61" s="299" t="n">
        <v>35490</v>
      </c>
      <c r="C61" s="312" t="n">
        <v>68.4</v>
      </c>
      <c r="D61" s="301" t="n">
        <v>70.6</v>
      </c>
      <c r="F61" s="1" t="s">
        <v>1690</v>
      </c>
      <c r="H61" s="222"/>
      <c r="I61" s="222"/>
      <c r="J61" s="323" t="n">
        <v>35490</v>
      </c>
      <c r="K61" s="324" t="n">
        <f aca="false">($G$28/C61)</f>
        <v>0.991228070175438</v>
      </c>
      <c r="L61" s="325" t="n">
        <f aca="false">($H$28/D61)</f>
        <v>0.995750708215298</v>
      </c>
    </row>
    <row r="62" customFormat="false" ht="15" hidden="false" customHeight="false" outlineLevel="0" collapsed="false">
      <c r="B62" s="305" t="n">
        <v>35521</v>
      </c>
      <c r="C62" s="306" t="n">
        <v>68.6</v>
      </c>
      <c r="D62" s="281" t="n">
        <v>70.8</v>
      </c>
      <c r="H62" s="222"/>
      <c r="I62" s="222"/>
      <c r="J62" s="307" t="n">
        <v>35521</v>
      </c>
      <c r="K62" s="326" t="n">
        <f aca="false">($G$29/C62)</f>
        <v>1.01457725947522</v>
      </c>
      <c r="L62" s="327" t="n">
        <f aca="false">($H$29/D62)</f>
        <v>1.00847457627119</v>
      </c>
    </row>
    <row r="63" customFormat="false" ht="15" hidden="false" customHeight="false" outlineLevel="0" collapsed="false">
      <c r="B63" s="288" t="n">
        <v>35551</v>
      </c>
      <c r="C63" s="308" t="n">
        <v>68.8</v>
      </c>
      <c r="D63" s="289" t="n">
        <v>71</v>
      </c>
      <c r="F63" s="222" t="s">
        <v>1691</v>
      </c>
      <c r="H63" s="222"/>
      <c r="I63" s="222"/>
      <c r="J63" s="292" t="n">
        <v>35551</v>
      </c>
      <c r="K63" s="319" t="n">
        <f aca="false">($G$29/C63)</f>
        <v>1.01162790697674</v>
      </c>
      <c r="L63" s="320" t="n">
        <f aca="false">($H$29/D63)</f>
        <v>1.0056338028169</v>
      </c>
    </row>
    <row r="64" customFormat="false" ht="15" hidden="false" customHeight="false" outlineLevel="0" collapsed="false">
      <c r="B64" s="288" t="n">
        <v>35582</v>
      </c>
      <c r="C64" s="308" t="n">
        <v>69.1</v>
      </c>
      <c r="D64" s="289" t="n">
        <v>71.2</v>
      </c>
      <c r="F64" s="1" t="s">
        <v>1692</v>
      </c>
      <c r="H64" s="42"/>
      <c r="I64" s="42"/>
      <c r="J64" s="292" t="n">
        <v>35582</v>
      </c>
      <c r="K64" s="319" t="n">
        <f aca="false">($G$29/C64)</f>
        <v>1.00723589001447</v>
      </c>
      <c r="L64" s="320" t="n">
        <f aca="false">($H$29/D64)</f>
        <v>1.00280898876405</v>
      </c>
    </row>
    <row r="65" customFormat="false" ht="15" hidden="false" customHeight="false" outlineLevel="0" collapsed="false">
      <c r="B65" s="288" t="n">
        <v>35612</v>
      </c>
      <c r="C65" s="308" t="n">
        <v>69</v>
      </c>
      <c r="D65" s="289" t="n">
        <v>70.9</v>
      </c>
      <c r="F65" s="1" t="s">
        <v>1693</v>
      </c>
      <c r="H65" s="42"/>
      <c r="I65" s="42"/>
      <c r="J65" s="292" t="n">
        <v>35612</v>
      </c>
      <c r="K65" s="319" t="n">
        <f aca="false">($G$29/C65)</f>
        <v>1.00869565217391</v>
      </c>
      <c r="L65" s="320" t="n">
        <f aca="false">($H$29/D65)</f>
        <v>1.00705218617772</v>
      </c>
    </row>
    <row r="66" customFormat="false" ht="15" hidden="false" customHeight="false" outlineLevel="0" collapsed="false">
      <c r="B66" s="288" t="n">
        <v>35643</v>
      </c>
      <c r="C66" s="308" t="n">
        <v>69.4</v>
      </c>
      <c r="D66" s="289" t="n">
        <v>71.3</v>
      </c>
      <c r="G66" s="222"/>
      <c r="H66" s="42"/>
      <c r="I66" s="42"/>
      <c r="J66" s="292" t="n">
        <v>35643</v>
      </c>
      <c r="K66" s="319" t="n">
        <f aca="false">($G$29/C66)</f>
        <v>1.0028818443804</v>
      </c>
      <c r="L66" s="320" t="n">
        <f aca="false">($H$29/D66)</f>
        <v>1.00140252454418</v>
      </c>
    </row>
    <row r="67" customFormat="false" ht="15" hidden="false" customHeight="false" outlineLevel="0" collapsed="false">
      <c r="B67" s="288" t="n">
        <v>35674</v>
      </c>
      <c r="C67" s="308" t="n">
        <v>69.8</v>
      </c>
      <c r="D67" s="289" t="n">
        <v>71.6</v>
      </c>
      <c r="F67" s="222" t="s">
        <v>1694</v>
      </c>
      <c r="G67" s="222"/>
      <c r="H67" s="42"/>
      <c r="I67" s="42"/>
      <c r="J67" s="292" t="n">
        <v>35674</v>
      </c>
      <c r="K67" s="319" t="n">
        <f aca="false">($G$29/C67)</f>
        <v>0.997134670487106</v>
      </c>
      <c r="L67" s="320" t="n">
        <f aca="false">($H$29/D67)</f>
        <v>0.997206703910615</v>
      </c>
    </row>
    <row r="68" customFormat="false" ht="15" hidden="false" customHeight="false" outlineLevel="0" collapsed="false">
      <c r="B68" s="288" t="n">
        <v>35704</v>
      </c>
      <c r="C68" s="308" t="n">
        <v>69.9</v>
      </c>
      <c r="D68" s="289" t="n">
        <v>71.6</v>
      </c>
      <c r="F68" s="222" t="s">
        <v>1695</v>
      </c>
      <c r="G68" s="222"/>
      <c r="H68" s="42"/>
      <c r="I68" s="42"/>
      <c r="J68" s="292" t="n">
        <v>35704</v>
      </c>
      <c r="K68" s="319" t="n">
        <f aca="false">($G$29/C68)</f>
        <v>0.995708154506437</v>
      </c>
      <c r="L68" s="320" t="n">
        <f aca="false">($H$29/D68)</f>
        <v>0.997206703910615</v>
      </c>
    </row>
    <row r="69" customFormat="false" ht="15" hidden="false" customHeight="false" outlineLevel="0" collapsed="false">
      <c r="B69" s="288" t="n">
        <v>35735</v>
      </c>
      <c r="C69" s="308" t="n">
        <v>69.9</v>
      </c>
      <c r="D69" s="289" t="n">
        <v>71.7</v>
      </c>
      <c r="G69" s="42"/>
      <c r="H69" s="42"/>
      <c r="I69" s="42"/>
      <c r="J69" s="292" t="n">
        <v>35735</v>
      </c>
      <c r="K69" s="319" t="n">
        <f aca="false">($G$29/C69)</f>
        <v>0.995708154506437</v>
      </c>
      <c r="L69" s="320" t="n">
        <f aca="false">($H$29/D69)</f>
        <v>0.99581589958159</v>
      </c>
    </row>
    <row r="70" customFormat="false" ht="15" hidden="false" customHeight="false" outlineLevel="0" collapsed="false">
      <c r="B70" s="288" t="n">
        <v>35765</v>
      </c>
      <c r="C70" s="308" t="n">
        <v>70</v>
      </c>
      <c r="D70" s="289" t="n">
        <v>71.7</v>
      </c>
      <c r="F70" s="222" t="s">
        <v>1696</v>
      </c>
      <c r="G70" s="42"/>
      <c r="H70" s="42"/>
      <c r="I70" s="42"/>
      <c r="J70" s="292" t="n">
        <v>35765</v>
      </c>
      <c r="K70" s="319" t="n">
        <f aca="false">($G$29/C70)</f>
        <v>0.994285714285714</v>
      </c>
      <c r="L70" s="320" t="n">
        <f aca="false">($H$29/D70)</f>
        <v>0.99581589958159</v>
      </c>
    </row>
    <row r="71" customFormat="false" ht="15" hidden="false" customHeight="false" outlineLevel="0" collapsed="false">
      <c r="B71" s="288" t="n">
        <v>35796</v>
      </c>
      <c r="C71" s="308" t="n">
        <v>69.7</v>
      </c>
      <c r="D71" s="289" t="n">
        <v>71.2</v>
      </c>
      <c r="F71" s="1" t="s">
        <v>1697</v>
      </c>
      <c r="G71" s="42"/>
      <c r="H71" s="42"/>
      <c r="I71" s="42"/>
      <c r="J71" s="292" t="n">
        <v>35796</v>
      </c>
      <c r="K71" s="319" t="n">
        <f aca="false">($G$29/C71)</f>
        <v>0.998565279770445</v>
      </c>
      <c r="L71" s="320" t="n">
        <f aca="false">($H$29/D71)</f>
        <v>1.00280898876405</v>
      </c>
    </row>
    <row r="72" customFormat="false" ht="15" hidden="false" customHeight="false" outlineLevel="0" collapsed="false">
      <c r="B72" s="288" t="n">
        <v>35827</v>
      </c>
      <c r="C72" s="308" t="n">
        <v>70.1</v>
      </c>
      <c r="D72" s="289" t="n">
        <v>71.5</v>
      </c>
      <c r="F72" s="328"/>
      <c r="G72" s="42"/>
      <c r="J72" s="292" t="n">
        <v>35827</v>
      </c>
      <c r="K72" s="319" t="n">
        <f aca="false">($G$29/C72)</f>
        <v>0.992867332382311</v>
      </c>
      <c r="L72" s="320" t="n">
        <f aca="false">($H$29/D72)</f>
        <v>0.998601398601399</v>
      </c>
    </row>
    <row r="73" customFormat="false" ht="15.4" hidden="false" customHeight="false" outlineLevel="0" collapsed="false">
      <c r="B73" s="299" t="n">
        <v>35855</v>
      </c>
      <c r="C73" s="312" t="n">
        <v>70.3</v>
      </c>
      <c r="D73" s="301" t="n">
        <v>71.7</v>
      </c>
      <c r="F73" s="329" t="s">
        <v>1698</v>
      </c>
      <c r="G73" s="330"/>
      <c r="H73" s="331"/>
      <c r="I73" s="331"/>
      <c r="J73" s="302" t="n">
        <v>35855</v>
      </c>
      <c r="K73" s="332" t="n">
        <f aca="false">($G$29/C73)</f>
        <v>0.990042674253201</v>
      </c>
      <c r="L73" s="333" t="n">
        <f aca="false">($H$29/D73)</f>
        <v>0.99581589958159</v>
      </c>
    </row>
    <row r="74" customFormat="false" ht="15" hidden="false" customHeight="false" outlineLevel="0" collapsed="false">
      <c r="B74" s="305" t="n">
        <v>35886</v>
      </c>
      <c r="C74" s="306" t="n">
        <v>70.9</v>
      </c>
      <c r="D74" s="281" t="n">
        <v>71.9</v>
      </c>
      <c r="F74" s="329" t="s">
        <v>1699</v>
      </c>
      <c r="G74" s="330"/>
      <c r="H74" s="331"/>
      <c r="I74" s="331"/>
      <c r="J74" s="307" t="n">
        <v>35886</v>
      </c>
      <c r="K74" s="326" t="n">
        <f aca="false">($G$30/C74)</f>
        <v>1.00564174894217</v>
      </c>
      <c r="L74" s="327" t="n">
        <f aca="false">($H$30/D74)</f>
        <v>1.00556328233658</v>
      </c>
    </row>
    <row r="75" customFormat="false" ht="15" hidden="false" customHeight="false" outlineLevel="0" collapsed="false">
      <c r="B75" s="288" t="n">
        <v>35916</v>
      </c>
      <c r="C75" s="308" t="n">
        <v>71.3</v>
      </c>
      <c r="D75" s="289" t="n">
        <v>72.3</v>
      </c>
      <c r="F75" s="329" t="s">
        <v>1700</v>
      </c>
      <c r="G75" s="330"/>
      <c r="H75" s="331"/>
      <c r="I75" s="331"/>
      <c r="J75" s="292" t="n">
        <v>35916</v>
      </c>
      <c r="K75" s="319" t="n">
        <f aca="false">($G$30/C75)</f>
        <v>1</v>
      </c>
      <c r="L75" s="320" t="n">
        <f aca="false">($H$30/D75)</f>
        <v>1</v>
      </c>
    </row>
    <row r="76" customFormat="false" ht="15" hidden="false" customHeight="false" outlineLevel="0" collapsed="false">
      <c r="B76" s="288" t="n">
        <v>35947</v>
      </c>
      <c r="C76" s="308" t="n">
        <v>71.2</v>
      </c>
      <c r="D76" s="289" t="n">
        <v>72.2</v>
      </c>
      <c r="F76" s="334" t="s">
        <v>1701</v>
      </c>
      <c r="G76" s="330"/>
      <c r="H76" s="331"/>
      <c r="I76" s="331"/>
      <c r="J76" s="292" t="n">
        <v>35947</v>
      </c>
      <c r="K76" s="319" t="n">
        <f aca="false">($G$30/C76)</f>
        <v>1.00140449438202</v>
      </c>
      <c r="L76" s="320" t="n">
        <f aca="false">($H$30/D76)</f>
        <v>1.00138504155125</v>
      </c>
    </row>
    <row r="77" customFormat="false" ht="15" hidden="false" customHeight="false" outlineLevel="0" collapsed="false">
      <c r="B77" s="288" t="n">
        <v>35977</v>
      </c>
      <c r="C77" s="308" t="n">
        <v>71</v>
      </c>
      <c r="D77" s="289" t="n">
        <v>71.8</v>
      </c>
      <c r="J77" s="292" t="n">
        <v>35977</v>
      </c>
      <c r="K77" s="319" t="n">
        <f aca="false">($G$30/C77)</f>
        <v>1.00422535211268</v>
      </c>
      <c r="L77" s="320" t="n">
        <f aca="false">($H$30/D77)</f>
        <v>1.00696378830084</v>
      </c>
    </row>
    <row r="78" customFormat="false" ht="15" hidden="false" customHeight="false" outlineLevel="0" collapsed="false">
      <c r="B78" s="288" t="n">
        <v>36008</v>
      </c>
      <c r="C78" s="308" t="n">
        <v>71.3</v>
      </c>
      <c r="D78" s="289" t="n">
        <v>72.1</v>
      </c>
      <c r="J78" s="292" t="n">
        <v>36008</v>
      </c>
      <c r="K78" s="319" t="n">
        <f aca="false">($G$30/C78)</f>
        <v>1</v>
      </c>
      <c r="L78" s="320" t="n">
        <f aca="false">($H$30/D78)</f>
        <v>1.00277392510402</v>
      </c>
    </row>
    <row r="79" customFormat="false" ht="15" hidden="false" customHeight="false" outlineLevel="0" collapsed="false">
      <c r="B79" s="288" t="n">
        <v>36039</v>
      </c>
      <c r="C79" s="308" t="n">
        <v>71.6</v>
      </c>
      <c r="D79" s="289" t="n">
        <v>72.4</v>
      </c>
      <c r="J79" s="292" t="n">
        <v>36039</v>
      </c>
      <c r="K79" s="319" t="n">
        <f aca="false">($G$30/C79)</f>
        <v>0.995810055865922</v>
      </c>
      <c r="L79" s="320" t="n">
        <f aca="false">($H$30/D79)</f>
        <v>0.998618784530387</v>
      </c>
    </row>
    <row r="80" customFormat="false" ht="15" hidden="false" customHeight="false" outlineLevel="0" collapsed="false">
      <c r="B80" s="288" t="n">
        <v>36069</v>
      </c>
      <c r="C80" s="308" t="n">
        <v>71.6</v>
      </c>
      <c r="D80" s="289" t="n">
        <v>72.4</v>
      </c>
      <c r="J80" s="292" t="n">
        <v>36069</v>
      </c>
      <c r="K80" s="319" t="n">
        <f aca="false">($G$30/C80)</f>
        <v>0.995810055865922</v>
      </c>
      <c r="L80" s="320" t="n">
        <f aca="false">($H$30/D80)</f>
        <v>0.998618784530387</v>
      </c>
    </row>
    <row r="81" customFormat="false" ht="15" hidden="false" customHeight="false" outlineLevel="0" collapsed="false">
      <c r="B81" s="288" t="n">
        <v>36100</v>
      </c>
      <c r="C81" s="308" t="n">
        <v>71.5</v>
      </c>
      <c r="D81" s="289" t="n">
        <v>72.4</v>
      </c>
      <c r="J81" s="292" t="n">
        <v>36100</v>
      </c>
      <c r="K81" s="319" t="n">
        <f aca="false">($G$30/C81)</f>
        <v>0.997202797202797</v>
      </c>
      <c r="L81" s="320" t="n">
        <f aca="false">($H$30/D81)</f>
        <v>0.998618784530387</v>
      </c>
    </row>
    <row r="82" customFormat="false" ht="15" hidden="false" customHeight="false" outlineLevel="0" collapsed="false">
      <c r="B82" s="288" t="n">
        <v>36130</v>
      </c>
      <c r="C82" s="308" t="n">
        <v>71.5</v>
      </c>
      <c r="D82" s="289" t="n">
        <v>72.7</v>
      </c>
      <c r="J82" s="292" t="n">
        <v>36130</v>
      </c>
      <c r="K82" s="319" t="n">
        <f aca="false">($G$30/C82)</f>
        <v>0.997202797202797</v>
      </c>
      <c r="L82" s="320" t="n">
        <f aca="false">($H$30/D82)</f>
        <v>0.994497936726272</v>
      </c>
    </row>
    <row r="83" customFormat="false" ht="15" hidden="false" customHeight="false" outlineLevel="0" collapsed="false">
      <c r="B83" s="288" t="n">
        <v>36161</v>
      </c>
      <c r="C83" s="308" t="n">
        <v>71</v>
      </c>
      <c r="D83" s="289" t="n">
        <v>72.2</v>
      </c>
      <c r="J83" s="292" t="n">
        <v>36161</v>
      </c>
      <c r="K83" s="319" t="n">
        <f aca="false">($G$30/C83)</f>
        <v>1.00422535211268</v>
      </c>
      <c r="L83" s="320" t="n">
        <f aca="false">($H$30/D83)</f>
        <v>1.00138504155125</v>
      </c>
    </row>
    <row r="84" customFormat="false" ht="15" hidden="false" customHeight="false" outlineLevel="0" collapsed="false">
      <c r="B84" s="288" t="n">
        <v>36192</v>
      </c>
      <c r="C84" s="308" t="n">
        <v>71.1</v>
      </c>
      <c r="D84" s="289" t="n">
        <v>72.3</v>
      </c>
      <c r="J84" s="292" t="n">
        <v>36192</v>
      </c>
      <c r="K84" s="319" t="n">
        <f aca="false">($G$30/C84)</f>
        <v>1.0028129395218</v>
      </c>
      <c r="L84" s="320" t="n">
        <f aca="false">($H$30/D84)</f>
        <v>1</v>
      </c>
    </row>
    <row r="85" customFormat="false" ht="15.4" hidden="false" customHeight="false" outlineLevel="0" collapsed="false">
      <c r="B85" s="299" t="n">
        <v>36220</v>
      </c>
      <c r="C85" s="312" t="n">
        <v>71.2</v>
      </c>
      <c r="D85" s="301" t="n">
        <v>72.7</v>
      </c>
      <c r="J85" s="302" t="n">
        <v>36220</v>
      </c>
      <c r="K85" s="332" t="n">
        <f aca="false">($G$30/C85)</f>
        <v>1.00140449438202</v>
      </c>
      <c r="L85" s="333" t="n">
        <f aca="false">($H$30/D85)</f>
        <v>0.994497936726272</v>
      </c>
    </row>
    <row r="86" customFormat="false" ht="15" hidden="false" customHeight="false" outlineLevel="0" collapsed="false">
      <c r="B86" s="305" t="n">
        <v>36251</v>
      </c>
      <c r="C86" s="306" t="n">
        <v>71.6</v>
      </c>
      <c r="D86" s="281" t="n">
        <v>72.9</v>
      </c>
      <c r="J86" s="307" t="n">
        <v>36251</v>
      </c>
      <c r="K86" s="326" t="n">
        <f aca="false">($G$31/C86)</f>
        <v>1.00418994413408</v>
      </c>
      <c r="L86" s="327" t="n">
        <f aca="false">($H$31/D86)</f>
        <v>1.00137174211248</v>
      </c>
    </row>
    <row r="87" customFormat="false" ht="15" hidden="false" customHeight="false" outlineLevel="0" collapsed="false">
      <c r="B87" s="288" t="n">
        <v>36281</v>
      </c>
      <c r="C87" s="308" t="n">
        <v>71.7</v>
      </c>
      <c r="D87" s="289" t="n">
        <v>73.2</v>
      </c>
      <c r="J87" s="292" t="n">
        <v>36281</v>
      </c>
      <c r="K87" s="319" t="n">
        <f aca="false">($G$31/C87)</f>
        <v>1.00278940027894</v>
      </c>
      <c r="L87" s="320" t="n">
        <f aca="false">($H$31/D87)</f>
        <v>0.997267759562842</v>
      </c>
    </row>
    <row r="88" customFormat="false" ht="15" hidden="false" customHeight="false" outlineLevel="0" collapsed="false">
      <c r="B88" s="288" t="n">
        <v>36312</v>
      </c>
      <c r="C88" s="308" t="n">
        <v>71.7</v>
      </c>
      <c r="D88" s="289" t="n">
        <v>73.1</v>
      </c>
      <c r="J88" s="292" t="n">
        <v>36312</v>
      </c>
      <c r="K88" s="319" t="n">
        <f aca="false">($G$31/C88)</f>
        <v>1.00278940027894</v>
      </c>
      <c r="L88" s="320" t="n">
        <f aca="false">($H$31/D88)</f>
        <v>0.998632010943913</v>
      </c>
    </row>
    <row r="89" customFormat="false" ht="15" hidden="false" customHeight="false" outlineLevel="0" collapsed="false">
      <c r="B89" s="288" t="n">
        <v>36342</v>
      </c>
      <c r="C89" s="308" t="n">
        <v>71.4</v>
      </c>
      <c r="D89" s="289" t="n">
        <v>72.6</v>
      </c>
      <c r="J89" s="292" t="n">
        <v>36342</v>
      </c>
      <c r="K89" s="319" t="n">
        <f aca="false">($G$31/C89)</f>
        <v>1.00700280112045</v>
      </c>
      <c r="L89" s="320" t="n">
        <f aca="false">($H$31/D89)</f>
        <v>1.00550964187328</v>
      </c>
    </row>
    <row r="90" customFormat="false" ht="15" hidden="false" customHeight="false" outlineLevel="0" collapsed="false">
      <c r="B90" s="288" t="n">
        <v>36373</v>
      </c>
      <c r="C90" s="308" t="n">
        <v>71.6</v>
      </c>
      <c r="D90" s="289" t="n">
        <v>72.8</v>
      </c>
      <c r="J90" s="292" t="n">
        <v>36373</v>
      </c>
      <c r="K90" s="319" t="n">
        <f aca="false">($G$31/C90)</f>
        <v>1.00418994413408</v>
      </c>
      <c r="L90" s="320" t="n">
        <f aca="false">($H$31/D90)</f>
        <v>1.00274725274725</v>
      </c>
    </row>
    <row r="91" customFormat="false" ht="15" hidden="false" customHeight="false" outlineLevel="0" collapsed="false">
      <c r="B91" s="288" t="n">
        <v>36404</v>
      </c>
      <c r="C91" s="308" t="n">
        <v>71.8</v>
      </c>
      <c r="D91" s="289" t="n">
        <v>73.1</v>
      </c>
      <c r="J91" s="292" t="n">
        <v>36404</v>
      </c>
      <c r="K91" s="319" t="n">
        <f aca="false">($G$31/C91)</f>
        <v>1.00139275766017</v>
      </c>
      <c r="L91" s="320" t="n">
        <f aca="false">($H$31/D91)</f>
        <v>0.998632010943913</v>
      </c>
    </row>
    <row r="92" customFormat="false" ht="15" hidden="false" customHeight="false" outlineLevel="0" collapsed="false">
      <c r="B92" s="288" t="n">
        <v>36434</v>
      </c>
      <c r="C92" s="308" t="n">
        <v>71.9</v>
      </c>
      <c r="D92" s="289" t="n">
        <v>73</v>
      </c>
      <c r="J92" s="292" t="n">
        <v>36434</v>
      </c>
      <c r="K92" s="319" t="n">
        <f aca="false">($G$31/C92)</f>
        <v>1</v>
      </c>
      <c r="L92" s="320" t="n">
        <f aca="false">($H$31/D92)</f>
        <v>1</v>
      </c>
    </row>
    <row r="93" customFormat="false" ht="15" hidden="false" customHeight="false" outlineLevel="0" collapsed="false">
      <c r="B93" s="288" t="n">
        <v>36465</v>
      </c>
      <c r="C93" s="308" t="n">
        <v>72</v>
      </c>
      <c r="D93" s="289" t="n">
        <v>73.1</v>
      </c>
      <c r="J93" s="292" t="n">
        <v>36465</v>
      </c>
      <c r="K93" s="319" t="n">
        <f aca="false">($G$31/C93)</f>
        <v>0.998611111111111</v>
      </c>
      <c r="L93" s="320" t="n">
        <f aca="false">($H$31/D93)</f>
        <v>0.998632010943913</v>
      </c>
    </row>
    <row r="94" customFormat="false" ht="15" hidden="false" customHeight="false" outlineLevel="0" collapsed="false">
      <c r="B94" s="288" t="n">
        <v>36495</v>
      </c>
      <c r="C94" s="308" t="n">
        <v>72.2</v>
      </c>
      <c r="D94" s="289" t="n">
        <v>73.4</v>
      </c>
      <c r="J94" s="292" t="n">
        <v>36495</v>
      </c>
      <c r="K94" s="319" t="n">
        <f aca="false">($G$31/C94)</f>
        <v>0.99584487534626</v>
      </c>
      <c r="L94" s="320" t="n">
        <f aca="false">($H$31/D94)</f>
        <v>0.994550408719346</v>
      </c>
    </row>
    <row r="95" customFormat="false" ht="15" hidden="false" customHeight="false" outlineLevel="0" collapsed="false">
      <c r="B95" s="288" t="n">
        <v>36526</v>
      </c>
      <c r="C95" s="308" t="n">
        <v>71.9</v>
      </c>
      <c r="D95" s="289" t="n">
        <v>72.6</v>
      </c>
      <c r="J95" s="292" t="n">
        <v>36526</v>
      </c>
      <c r="K95" s="319" t="n">
        <f aca="false">($G$31/C95)</f>
        <v>1</v>
      </c>
      <c r="L95" s="320" t="n">
        <f aca="false">($H$31/D95)</f>
        <v>1.00550964187328</v>
      </c>
    </row>
    <row r="96" customFormat="false" ht="15" hidden="false" customHeight="false" outlineLevel="0" collapsed="false">
      <c r="B96" s="288" t="n">
        <v>36557</v>
      </c>
      <c r="C96" s="308" t="n">
        <v>72.2</v>
      </c>
      <c r="D96" s="289" t="n">
        <v>72.8</v>
      </c>
      <c r="J96" s="292" t="n">
        <v>36557</v>
      </c>
      <c r="K96" s="319" t="n">
        <f aca="false">($G$31/C96)</f>
        <v>0.99584487534626</v>
      </c>
      <c r="L96" s="320" t="n">
        <f aca="false">($H$31/D96)</f>
        <v>1.00274725274725</v>
      </c>
    </row>
    <row r="97" customFormat="false" ht="15.4" hidden="false" customHeight="false" outlineLevel="0" collapsed="false">
      <c r="B97" s="299" t="n">
        <v>36586</v>
      </c>
      <c r="C97" s="312" t="n">
        <v>72.5</v>
      </c>
      <c r="D97" s="301" t="n">
        <v>73</v>
      </c>
      <c r="J97" s="302" t="n">
        <v>36586</v>
      </c>
      <c r="K97" s="332" t="n">
        <f aca="false">($G$31/C97)</f>
        <v>0.991724137931035</v>
      </c>
      <c r="L97" s="333" t="n">
        <f aca="false">($H$31/D97)</f>
        <v>1</v>
      </c>
    </row>
    <row r="98" customFormat="false" ht="15" hidden="false" customHeight="false" outlineLevel="0" collapsed="false">
      <c r="B98" s="305" t="n">
        <v>36617</v>
      </c>
      <c r="C98" s="306" t="n">
        <v>73</v>
      </c>
      <c r="D98" s="281" t="n">
        <v>73.3</v>
      </c>
      <c r="J98" s="307" t="n">
        <v>36617</v>
      </c>
      <c r="K98" s="326" t="n">
        <f aca="false">($G$32/C98)</f>
        <v>1.00547945205479</v>
      </c>
      <c r="L98" s="327" t="n">
        <f aca="false">($H$32/D98)</f>
        <v>1.00272851296044</v>
      </c>
    </row>
    <row r="99" customFormat="false" ht="15" hidden="false" customHeight="false" outlineLevel="0" collapsed="false">
      <c r="B99" s="288" t="n">
        <v>36647</v>
      </c>
      <c r="C99" s="308" t="n">
        <v>73.3</v>
      </c>
      <c r="D99" s="289" t="n">
        <v>73.5</v>
      </c>
      <c r="J99" s="292" t="n">
        <v>36647</v>
      </c>
      <c r="K99" s="319" t="n">
        <f aca="false">($G$32/C99)</f>
        <v>1.00136425648022</v>
      </c>
      <c r="L99" s="320" t="n">
        <f aca="false">($H$32/D99)</f>
        <v>1</v>
      </c>
    </row>
    <row r="100" customFormat="false" ht="15" hidden="false" customHeight="false" outlineLevel="0" collapsed="false">
      <c r="B100" s="288" t="n">
        <v>36678</v>
      </c>
      <c r="C100" s="308" t="n">
        <v>73.4</v>
      </c>
      <c r="D100" s="289" t="n">
        <v>73.6</v>
      </c>
      <c r="J100" s="292" t="n">
        <v>36678</v>
      </c>
      <c r="K100" s="319" t="n">
        <f aca="false">($G$32/C100)</f>
        <v>1</v>
      </c>
      <c r="L100" s="320" t="n">
        <f aca="false">($H$32/D100)</f>
        <v>0.998641304347826</v>
      </c>
    </row>
    <row r="101" customFormat="false" ht="15" hidden="false" customHeight="false" outlineLevel="0" collapsed="false">
      <c r="B101" s="288" t="n">
        <v>36708</v>
      </c>
      <c r="C101" s="308" t="n">
        <v>73.1</v>
      </c>
      <c r="D101" s="289" t="n">
        <v>73.2</v>
      </c>
      <c r="J101" s="292" t="n">
        <v>36708</v>
      </c>
      <c r="K101" s="319" t="n">
        <f aca="false">($G$32/C101)</f>
        <v>1.00410396716826</v>
      </c>
      <c r="L101" s="320" t="n">
        <f aca="false">($H$32/D101)</f>
        <v>1.00409836065574</v>
      </c>
    </row>
    <row r="102" customFormat="false" ht="15" hidden="false" customHeight="false" outlineLevel="0" collapsed="false">
      <c r="B102" s="288" t="n">
        <v>36739</v>
      </c>
      <c r="C102" s="308" t="n">
        <v>73.1</v>
      </c>
      <c r="D102" s="289" t="n">
        <v>73.2</v>
      </c>
      <c r="J102" s="292" t="n">
        <v>36739</v>
      </c>
      <c r="K102" s="319" t="n">
        <f aca="false">($G$32/C102)</f>
        <v>1.00410396716826</v>
      </c>
      <c r="L102" s="320" t="n">
        <f aca="false">($H$32/D102)</f>
        <v>1.00409836065574</v>
      </c>
    </row>
    <row r="103" customFormat="false" ht="15" hidden="false" customHeight="false" outlineLevel="0" collapsed="false">
      <c r="B103" s="288" t="n">
        <v>36770</v>
      </c>
      <c r="C103" s="308" t="n">
        <v>73.6</v>
      </c>
      <c r="D103" s="289" t="n">
        <v>73.8</v>
      </c>
      <c r="J103" s="292" t="n">
        <v>36770</v>
      </c>
      <c r="K103" s="319" t="n">
        <f aca="false">($G$32/C103)</f>
        <v>0.997282608695652</v>
      </c>
      <c r="L103" s="320" t="n">
        <f aca="false">($H$32/D103)</f>
        <v>0.995934959349593</v>
      </c>
    </row>
    <row r="104" customFormat="false" ht="15" hidden="false" customHeight="false" outlineLevel="0" collapsed="false">
      <c r="B104" s="288" t="n">
        <v>36800</v>
      </c>
      <c r="C104" s="308" t="n">
        <v>73.6</v>
      </c>
      <c r="D104" s="289" t="n">
        <v>73.8</v>
      </c>
      <c r="J104" s="292" t="n">
        <v>36800</v>
      </c>
      <c r="K104" s="319" t="n">
        <f aca="false">($G$32/C104)</f>
        <v>0.997282608695652</v>
      </c>
      <c r="L104" s="320" t="n">
        <f aca="false">($H$32/D104)</f>
        <v>0.995934959349593</v>
      </c>
    </row>
    <row r="105" customFormat="false" ht="15" hidden="false" customHeight="false" outlineLevel="0" collapsed="false">
      <c r="B105" s="288" t="n">
        <v>36831</v>
      </c>
      <c r="C105" s="308" t="n">
        <v>73.8</v>
      </c>
      <c r="D105" s="289" t="n">
        <v>73.9</v>
      </c>
      <c r="J105" s="292" t="n">
        <v>36831</v>
      </c>
      <c r="K105" s="319" t="n">
        <f aca="false">($G$32/C105)</f>
        <v>0.994579945799458</v>
      </c>
      <c r="L105" s="320" t="n">
        <f aca="false">($H$32/D105)</f>
        <v>0.994587280108254</v>
      </c>
    </row>
    <row r="106" customFormat="false" ht="15" hidden="false" customHeight="false" outlineLevel="0" collapsed="false">
      <c r="B106" s="288" t="n">
        <v>36861</v>
      </c>
      <c r="C106" s="308" t="n">
        <v>73.8</v>
      </c>
      <c r="D106" s="289" t="n">
        <v>73.9</v>
      </c>
      <c r="J106" s="292" t="n">
        <v>36861</v>
      </c>
      <c r="K106" s="319" t="n">
        <f aca="false">($G$32/C106)</f>
        <v>0.994579945799458</v>
      </c>
      <c r="L106" s="320" t="n">
        <f aca="false">($H$32/D106)</f>
        <v>0.994587280108254</v>
      </c>
    </row>
    <row r="107" customFormat="false" ht="15" hidden="false" customHeight="false" outlineLevel="0" collapsed="false">
      <c r="B107" s="288" t="n">
        <v>36892</v>
      </c>
      <c r="C107" s="308" t="n">
        <v>73.2</v>
      </c>
      <c r="D107" s="289" t="n">
        <v>73.2</v>
      </c>
      <c r="J107" s="292" t="n">
        <v>36892</v>
      </c>
      <c r="K107" s="319" t="n">
        <f aca="false">($G$32/C107)</f>
        <v>1.00273224043716</v>
      </c>
      <c r="L107" s="320" t="n">
        <f aca="false">($H$32/D107)</f>
        <v>1.00409836065574</v>
      </c>
    </row>
    <row r="108" customFormat="false" ht="15" hidden="false" customHeight="false" outlineLevel="0" collapsed="false">
      <c r="B108" s="288" t="n">
        <v>36923</v>
      </c>
      <c r="C108" s="308" t="n">
        <v>73.4</v>
      </c>
      <c r="D108" s="289" t="n">
        <v>73.4</v>
      </c>
      <c r="J108" s="292" t="n">
        <v>36923</v>
      </c>
      <c r="K108" s="319" t="n">
        <f aca="false">($G$32/C108)</f>
        <v>1</v>
      </c>
      <c r="L108" s="320" t="n">
        <f aca="false">($H$32/D108)</f>
        <v>1.00136239782016</v>
      </c>
    </row>
    <row r="109" customFormat="false" ht="15.4" hidden="false" customHeight="false" outlineLevel="0" collapsed="false">
      <c r="B109" s="299" t="n">
        <v>36951</v>
      </c>
      <c r="C109" s="312" t="n">
        <v>73.5</v>
      </c>
      <c r="D109" s="301" t="n">
        <v>73.7</v>
      </c>
      <c r="J109" s="302" t="n">
        <v>36951</v>
      </c>
      <c r="K109" s="332" t="n">
        <f aca="false">($G$32/C109)</f>
        <v>0.998639455782313</v>
      </c>
      <c r="L109" s="333" t="n">
        <f aca="false">($H$32/D109)</f>
        <v>0.997286295793758</v>
      </c>
    </row>
    <row r="110" customFormat="false" ht="15" hidden="false" customHeight="false" outlineLevel="0" collapsed="false">
      <c r="B110" s="305" t="n">
        <v>36982</v>
      </c>
      <c r="C110" s="306" t="n">
        <v>73.8</v>
      </c>
      <c r="D110" s="281" t="n">
        <v>74</v>
      </c>
      <c r="J110" s="307" t="n">
        <v>36982</v>
      </c>
      <c r="K110" s="326" t="n">
        <f aca="false">($G$33/C110)</f>
        <v>1.00135501355014</v>
      </c>
      <c r="L110" s="327" t="n">
        <f aca="false">($H$33/D110)</f>
        <v>1.00675675675676</v>
      </c>
    </row>
    <row r="111" customFormat="false" ht="15" hidden="false" customHeight="false" outlineLevel="0" collapsed="false">
      <c r="B111" s="288" t="n">
        <v>37012</v>
      </c>
      <c r="C111" s="308" t="n">
        <v>74.2</v>
      </c>
      <c r="D111" s="289" t="n">
        <v>74.6</v>
      </c>
      <c r="J111" s="292" t="n">
        <v>37012</v>
      </c>
      <c r="K111" s="319" t="n">
        <f aca="false">($G$33/C111)</f>
        <v>0.995956873315364</v>
      </c>
      <c r="L111" s="320" t="n">
        <f aca="false">($H$33/D111)</f>
        <v>0.998659517426274</v>
      </c>
    </row>
    <row r="112" customFormat="false" ht="15" hidden="false" customHeight="false" outlineLevel="0" collapsed="false">
      <c r="B112" s="288" t="n">
        <v>37043</v>
      </c>
      <c r="C112" s="308" t="n">
        <v>74.3</v>
      </c>
      <c r="D112" s="289" t="n">
        <v>74.8</v>
      </c>
      <c r="J112" s="292" t="n">
        <v>37043</v>
      </c>
      <c r="K112" s="319" t="n">
        <f aca="false">($G$33/C112)</f>
        <v>0.994616419919246</v>
      </c>
      <c r="L112" s="320" t="n">
        <f aca="false">($H$33/D112)</f>
        <v>0.995989304812834</v>
      </c>
    </row>
    <row r="113" customFormat="false" ht="15" hidden="false" customHeight="false" outlineLevel="0" collapsed="false">
      <c r="B113" s="288" t="n">
        <v>37073</v>
      </c>
      <c r="C113" s="308" t="n">
        <v>73.7</v>
      </c>
      <c r="D113" s="289" t="n">
        <v>74.2</v>
      </c>
      <c r="J113" s="292" t="n">
        <v>37073</v>
      </c>
      <c r="K113" s="319" t="n">
        <f aca="false">($G$33/C113)</f>
        <v>1.00271370420624</v>
      </c>
      <c r="L113" s="320" t="n">
        <f aca="false">($H$33/D113)</f>
        <v>1.00404312668464</v>
      </c>
    </row>
    <row r="114" customFormat="false" ht="15" hidden="false" customHeight="false" outlineLevel="0" collapsed="false">
      <c r="B114" s="288" t="n">
        <v>37104</v>
      </c>
      <c r="C114" s="308" t="n">
        <v>74</v>
      </c>
      <c r="D114" s="289" t="n">
        <v>74.5</v>
      </c>
      <c r="J114" s="292" t="n">
        <v>37104</v>
      </c>
      <c r="K114" s="319" t="n">
        <f aca="false">($G$33/C114)</f>
        <v>0.998648648648649</v>
      </c>
      <c r="L114" s="320" t="n">
        <f aca="false">($H$33/D114)</f>
        <v>1</v>
      </c>
    </row>
    <row r="115" customFormat="false" ht="15" hidden="false" customHeight="false" outlineLevel="0" collapsed="false">
      <c r="B115" s="288" t="n">
        <v>37135</v>
      </c>
      <c r="C115" s="308" t="n">
        <v>74.2</v>
      </c>
      <c r="D115" s="289" t="n">
        <v>74.7</v>
      </c>
      <c r="J115" s="292" t="n">
        <v>37135</v>
      </c>
      <c r="K115" s="319" t="n">
        <f aca="false">($G$33/C115)</f>
        <v>0.995956873315364</v>
      </c>
      <c r="L115" s="320" t="n">
        <f aca="false">($H$33/D115)</f>
        <v>0.997322623828648</v>
      </c>
    </row>
    <row r="116" customFormat="false" ht="15" hidden="false" customHeight="false" outlineLevel="0" collapsed="false">
      <c r="B116" s="288" t="n">
        <v>37165</v>
      </c>
      <c r="C116" s="308" t="n">
        <v>74</v>
      </c>
      <c r="D116" s="289" t="n">
        <v>74.5</v>
      </c>
      <c r="J116" s="292" t="n">
        <v>37165</v>
      </c>
      <c r="K116" s="319" t="n">
        <f aca="false">($G$33/C116)</f>
        <v>0.998648648648649</v>
      </c>
      <c r="L116" s="320" t="n">
        <f aca="false">($H$33/D116)</f>
        <v>1</v>
      </c>
    </row>
    <row r="117" customFormat="false" ht="15" hidden="false" customHeight="false" outlineLevel="0" collapsed="false">
      <c r="B117" s="288" t="n">
        <v>37196</v>
      </c>
      <c r="C117" s="308" t="n">
        <v>73.7</v>
      </c>
      <c r="D117" s="289" t="n">
        <v>74.4</v>
      </c>
      <c r="J117" s="292" t="n">
        <v>37196</v>
      </c>
      <c r="K117" s="319" t="n">
        <f aca="false">($G$33/C117)</f>
        <v>1.00271370420624</v>
      </c>
      <c r="L117" s="320" t="n">
        <f aca="false">($H$33/D117)</f>
        <v>1.00134408602151</v>
      </c>
    </row>
    <row r="118" customFormat="false" ht="15" hidden="false" customHeight="false" outlineLevel="0" collapsed="false">
      <c r="B118" s="288" t="n">
        <v>37226</v>
      </c>
      <c r="C118" s="308" t="n">
        <v>73.7</v>
      </c>
      <c r="D118" s="289" t="n">
        <v>74.6</v>
      </c>
      <c r="J118" s="292" t="n">
        <v>37226</v>
      </c>
      <c r="K118" s="319" t="n">
        <f aca="false">($G$33/C118)</f>
        <v>1.00271370420624</v>
      </c>
      <c r="L118" s="320" t="n">
        <f aca="false">($H$33/D118)</f>
        <v>0.998659517426274</v>
      </c>
    </row>
    <row r="119" customFormat="false" ht="15" hidden="false" customHeight="false" outlineLevel="0" collapsed="false">
      <c r="B119" s="288" t="n">
        <v>37257</v>
      </c>
      <c r="C119" s="308" t="n">
        <v>73.5</v>
      </c>
      <c r="D119" s="289" t="n">
        <v>74.3</v>
      </c>
      <c r="J119" s="292" t="n">
        <v>37257</v>
      </c>
      <c r="K119" s="319" t="n">
        <f aca="false">($G$33/C119)</f>
        <v>1.00544217687075</v>
      </c>
      <c r="L119" s="320" t="n">
        <f aca="false">($H$33/D119)</f>
        <v>1.00269179004038</v>
      </c>
    </row>
    <row r="120" customFormat="false" ht="15" hidden="false" customHeight="false" outlineLevel="0" collapsed="false">
      <c r="B120" s="288" t="n">
        <v>37288</v>
      </c>
      <c r="C120" s="308" t="n">
        <v>73.6</v>
      </c>
      <c r="D120" s="289" t="n">
        <v>74.4</v>
      </c>
      <c r="J120" s="292" t="n">
        <v>37288</v>
      </c>
      <c r="K120" s="319" t="n">
        <f aca="false">($G$33/C120)</f>
        <v>1.00407608695652</v>
      </c>
      <c r="L120" s="320" t="n">
        <f aca="false">($H$33/D120)</f>
        <v>1.00134408602151</v>
      </c>
    </row>
    <row r="121" customFormat="false" ht="15.4" hidden="false" customHeight="false" outlineLevel="0" collapsed="false">
      <c r="B121" s="299" t="n">
        <v>37316</v>
      </c>
      <c r="C121" s="312" t="n">
        <v>73.9</v>
      </c>
      <c r="D121" s="301" t="n">
        <v>74.7</v>
      </c>
      <c r="J121" s="302" t="n">
        <v>37316</v>
      </c>
      <c r="K121" s="332" t="n">
        <f aca="false">($G$33/C121)</f>
        <v>1</v>
      </c>
      <c r="L121" s="333" t="n">
        <f aca="false">($H$33/D121)</f>
        <v>0.997322623828648</v>
      </c>
    </row>
    <row r="122" customFormat="false" ht="15" hidden="false" customHeight="false" outlineLevel="0" collapsed="false">
      <c r="B122" s="305" t="n">
        <v>37347</v>
      </c>
      <c r="C122" s="306" t="n">
        <v>74.2</v>
      </c>
      <c r="D122" s="281" t="n">
        <v>75</v>
      </c>
      <c r="J122" s="307" t="n">
        <v>37347</v>
      </c>
      <c r="K122" s="326" t="n">
        <f aca="false">($G$34/C122)</f>
        <v>1.00673854447439</v>
      </c>
      <c r="L122" s="327" t="n">
        <f aca="false">($H$34/D122)</f>
        <v>1.004</v>
      </c>
    </row>
    <row r="123" customFormat="false" ht="15" hidden="false" customHeight="false" outlineLevel="0" collapsed="false">
      <c r="B123" s="288" t="n">
        <v>37377</v>
      </c>
      <c r="C123" s="308" t="n">
        <v>74.4</v>
      </c>
      <c r="D123" s="289" t="n">
        <v>75.1</v>
      </c>
      <c r="J123" s="292" t="n">
        <v>37377</v>
      </c>
      <c r="K123" s="319" t="n">
        <f aca="false">($G$34/C123)</f>
        <v>1.00403225806452</v>
      </c>
      <c r="L123" s="320" t="n">
        <f aca="false">($H$34/D123)</f>
        <v>1.00266311584554</v>
      </c>
    </row>
    <row r="124" customFormat="false" ht="15" hidden="false" customHeight="false" outlineLevel="0" collapsed="false">
      <c r="B124" s="288" t="n">
        <v>37408</v>
      </c>
      <c r="C124" s="308" t="n">
        <v>74.4</v>
      </c>
      <c r="D124" s="289" t="n">
        <v>75.1</v>
      </c>
      <c r="J124" s="292" t="n">
        <v>37408</v>
      </c>
      <c r="K124" s="319" t="n">
        <f aca="false">($G$34/C124)</f>
        <v>1.00403225806452</v>
      </c>
      <c r="L124" s="320" t="n">
        <f aca="false">($H$34/D124)</f>
        <v>1.00266311584554</v>
      </c>
    </row>
    <row r="125" customFormat="false" ht="15" hidden="false" customHeight="false" outlineLevel="0" collapsed="false">
      <c r="B125" s="288" t="n">
        <v>37438</v>
      </c>
      <c r="C125" s="308" t="n">
        <v>74.2</v>
      </c>
      <c r="D125" s="289" t="n">
        <v>74.9</v>
      </c>
      <c r="J125" s="292" t="n">
        <v>37438</v>
      </c>
      <c r="K125" s="319" t="n">
        <f aca="false">($G$34/C125)</f>
        <v>1.00673854447439</v>
      </c>
      <c r="L125" s="320" t="n">
        <f aca="false">($H$34/D125)</f>
        <v>1.00534045393858</v>
      </c>
    </row>
    <row r="126" customFormat="false" ht="15" hidden="false" customHeight="false" outlineLevel="0" collapsed="false">
      <c r="B126" s="288" t="n">
        <v>37469</v>
      </c>
      <c r="C126" s="308" t="n">
        <v>74.4</v>
      </c>
      <c r="D126" s="289" t="n">
        <v>75.1</v>
      </c>
      <c r="J126" s="292" t="n">
        <v>37469</v>
      </c>
      <c r="K126" s="319" t="n">
        <f aca="false">($G$34/C126)</f>
        <v>1.00403225806452</v>
      </c>
      <c r="L126" s="320" t="n">
        <f aca="false">($H$34/D126)</f>
        <v>1.00266311584554</v>
      </c>
    </row>
    <row r="127" customFormat="false" ht="15" hidden="false" customHeight="false" outlineLevel="0" collapsed="false">
      <c r="B127" s="288" t="n">
        <v>37500</v>
      </c>
      <c r="C127" s="308" t="n">
        <v>74.7</v>
      </c>
      <c r="D127" s="289" t="n">
        <v>75.3</v>
      </c>
      <c r="J127" s="292" t="n">
        <v>37500</v>
      </c>
      <c r="K127" s="319" t="n">
        <f aca="false">($G$34/C127)</f>
        <v>1</v>
      </c>
      <c r="L127" s="320" t="n">
        <f aca="false">($H$34/D127)</f>
        <v>1</v>
      </c>
    </row>
    <row r="128" customFormat="false" ht="15" hidden="false" customHeight="false" outlineLevel="0" collapsed="false">
      <c r="B128" s="288" t="n">
        <v>37530</v>
      </c>
      <c r="C128" s="308" t="n">
        <v>74.8</v>
      </c>
      <c r="D128" s="289" t="n">
        <v>75.5</v>
      </c>
      <c r="J128" s="292" t="n">
        <v>37530</v>
      </c>
      <c r="K128" s="319" t="n">
        <f aca="false">($G$34/C128)</f>
        <v>0.998663101604278</v>
      </c>
      <c r="L128" s="320" t="n">
        <f aca="false">($H$34/D128)</f>
        <v>0.997350993377483</v>
      </c>
    </row>
    <row r="129" customFormat="false" ht="15" hidden="false" customHeight="false" outlineLevel="0" collapsed="false">
      <c r="B129" s="288" t="n">
        <v>37561</v>
      </c>
      <c r="C129" s="308" t="n">
        <v>74.8</v>
      </c>
      <c r="D129" s="289" t="n">
        <v>75.5</v>
      </c>
      <c r="J129" s="292" t="n">
        <v>37561</v>
      </c>
      <c r="K129" s="319" t="n">
        <f aca="false">($G$34/C129)</f>
        <v>0.998663101604278</v>
      </c>
      <c r="L129" s="320" t="n">
        <f aca="false">($H$34/D129)</f>
        <v>0.997350993377483</v>
      </c>
    </row>
    <row r="130" customFormat="false" ht="15" hidden="false" customHeight="false" outlineLevel="0" collapsed="false">
      <c r="B130" s="288" t="n">
        <v>37591</v>
      </c>
      <c r="C130" s="308" t="n">
        <v>75.1</v>
      </c>
      <c r="D130" s="289" t="n">
        <v>75.8</v>
      </c>
      <c r="J130" s="292" t="n">
        <v>37591</v>
      </c>
      <c r="K130" s="319" t="n">
        <f aca="false">($G$34/C130)</f>
        <v>0.994673768308921</v>
      </c>
      <c r="L130" s="320" t="n">
        <f aca="false">($H$34/D130)</f>
        <v>0.993403693931398</v>
      </c>
    </row>
    <row r="131" customFormat="false" ht="15" hidden="false" customHeight="false" outlineLevel="0" collapsed="false">
      <c r="B131" s="288" t="n">
        <v>37622</v>
      </c>
      <c r="C131" s="308" t="n">
        <v>74.7</v>
      </c>
      <c r="D131" s="289" t="n">
        <v>75.2</v>
      </c>
      <c r="J131" s="292" t="n">
        <v>37622</v>
      </c>
      <c r="K131" s="319" t="n">
        <f aca="false">($G$34/C131)</f>
        <v>1</v>
      </c>
      <c r="L131" s="320" t="n">
        <f aca="false">($H$34/D131)</f>
        <v>1.00132978723404</v>
      </c>
    </row>
    <row r="132" customFormat="false" ht="15" hidden="false" customHeight="false" outlineLevel="0" collapsed="false">
      <c r="B132" s="288" t="n">
        <v>37653</v>
      </c>
      <c r="C132" s="308" t="n">
        <v>75</v>
      </c>
      <c r="D132" s="289" t="n">
        <v>75.5</v>
      </c>
      <c r="J132" s="292" t="n">
        <v>37653</v>
      </c>
      <c r="K132" s="319" t="n">
        <f aca="false">($G$34/C132)</f>
        <v>0.996</v>
      </c>
      <c r="L132" s="320" t="n">
        <f aca="false">($H$34/D132)</f>
        <v>0.997350993377483</v>
      </c>
    </row>
    <row r="133" customFormat="false" ht="15.4" hidden="false" customHeight="false" outlineLevel="0" collapsed="false">
      <c r="B133" s="299" t="n">
        <v>37681</v>
      </c>
      <c r="C133" s="312" t="n">
        <v>75.2</v>
      </c>
      <c r="D133" s="301" t="n">
        <v>75.8</v>
      </c>
      <c r="J133" s="302" t="n">
        <v>37681</v>
      </c>
      <c r="K133" s="332" t="n">
        <f aca="false">($G$34/C133)</f>
        <v>0.993351063829787</v>
      </c>
      <c r="L133" s="333" t="n">
        <f aca="false">($H$34/D133)</f>
        <v>0.993403693931398</v>
      </c>
    </row>
    <row r="134" customFormat="false" ht="15" hidden="false" customHeight="false" outlineLevel="0" collapsed="false">
      <c r="B134" s="305" t="n">
        <v>37712</v>
      </c>
      <c r="C134" s="306" t="n">
        <v>75.4</v>
      </c>
      <c r="D134" s="281" t="n">
        <v>76</v>
      </c>
      <c r="J134" s="307" t="n">
        <v>37712</v>
      </c>
      <c r="K134" s="326" t="n">
        <f aca="false">($G$35/C134)</f>
        <v>1.0053050397878</v>
      </c>
      <c r="L134" s="327" t="n">
        <f aca="false">($H$35/D134)</f>
        <v>1.00394736842105</v>
      </c>
    </row>
    <row r="135" customFormat="false" ht="15" hidden="false" customHeight="false" outlineLevel="0" collapsed="false">
      <c r="B135" s="288" t="n">
        <v>37742</v>
      </c>
      <c r="C135" s="308" t="n">
        <v>75.5</v>
      </c>
      <c r="D135" s="289" t="n">
        <v>76</v>
      </c>
      <c r="J135" s="292" t="n">
        <v>37742</v>
      </c>
      <c r="K135" s="319" t="n">
        <f aca="false">($G$35/C135)</f>
        <v>1.00397350993377</v>
      </c>
      <c r="L135" s="320" t="n">
        <f aca="false">($H$35/D135)</f>
        <v>1.00394736842105</v>
      </c>
    </row>
    <row r="136" customFormat="false" ht="15" hidden="false" customHeight="false" outlineLevel="0" collapsed="false">
      <c r="B136" s="288" t="n">
        <v>37773</v>
      </c>
      <c r="C136" s="308" t="n">
        <v>75.4</v>
      </c>
      <c r="D136" s="289" t="n">
        <v>75.9</v>
      </c>
      <c r="J136" s="292" t="n">
        <v>37773</v>
      </c>
      <c r="K136" s="319" t="n">
        <f aca="false">($G$35/C136)</f>
        <v>1.0053050397878</v>
      </c>
      <c r="L136" s="320" t="n">
        <f aca="false">($H$35/D136)</f>
        <v>1.00527009222661</v>
      </c>
    </row>
    <row r="137" customFormat="false" ht="15" hidden="false" customHeight="false" outlineLevel="0" collapsed="false">
      <c r="B137" s="288" t="n">
        <v>37803</v>
      </c>
      <c r="C137" s="308" t="n">
        <v>75.4</v>
      </c>
      <c r="D137" s="289" t="n">
        <v>75.8</v>
      </c>
      <c r="J137" s="292" t="n">
        <v>37803</v>
      </c>
      <c r="K137" s="319" t="n">
        <f aca="false">($G$35/C137)</f>
        <v>1.0053050397878</v>
      </c>
      <c r="L137" s="320" t="n">
        <f aca="false">($H$35/D137)</f>
        <v>1.0065963060686</v>
      </c>
    </row>
    <row r="138" customFormat="false" ht="15" hidden="false" customHeight="false" outlineLevel="0" collapsed="false">
      <c r="B138" s="288" t="n">
        <v>37834</v>
      </c>
      <c r="C138" s="308" t="n">
        <v>75.5</v>
      </c>
      <c r="D138" s="289" t="n">
        <v>76.1</v>
      </c>
      <c r="J138" s="292" t="n">
        <v>37834</v>
      </c>
      <c r="K138" s="319" t="n">
        <f aca="false">($G$35/C138)</f>
        <v>1.00397350993377</v>
      </c>
      <c r="L138" s="320" t="n">
        <f aca="false">($H$35/D138)</f>
        <v>1.00262812089356</v>
      </c>
    </row>
    <row r="139" customFormat="false" ht="15" hidden="false" customHeight="false" outlineLevel="0" collapsed="false">
      <c r="B139" s="288" t="n">
        <v>37865</v>
      </c>
      <c r="C139" s="308" t="n">
        <v>75.8</v>
      </c>
      <c r="D139" s="289" t="n">
        <v>76.4</v>
      </c>
      <c r="J139" s="292" t="n">
        <v>37865</v>
      </c>
      <c r="K139" s="319" t="n">
        <f aca="false">($G$35/C139)</f>
        <v>1</v>
      </c>
      <c r="L139" s="320" t="n">
        <f aca="false">($H$35/D139)</f>
        <v>0.99869109947644</v>
      </c>
    </row>
    <row r="140" customFormat="false" ht="15" hidden="false" customHeight="false" outlineLevel="0" collapsed="false">
      <c r="B140" s="288" t="n">
        <v>37895</v>
      </c>
      <c r="C140" s="308" t="n">
        <v>75.9</v>
      </c>
      <c r="D140" s="289" t="n">
        <v>76.5</v>
      </c>
      <c r="J140" s="292" t="n">
        <v>37895</v>
      </c>
      <c r="K140" s="319" t="n">
        <f aca="false">($G$35/C140)</f>
        <v>0.998682476943346</v>
      </c>
      <c r="L140" s="320" t="n">
        <f aca="false">($H$35/D140)</f>
        <v>0.997385620915033</v>
      </c>
    </row>
    <row r="141" customFormat="false" ht="15" hidden="false" customHeight="false" outlineLevel="0" collapsed="false">
      <c r="B141" s="288" t="n">
        <v>37926</v>
      </c>
      <c r="C141" s="308" t="n">
        <v>75.9</v>
      </c>
      <c r="D141" s="289" t="n">
        <v>76.4</v>
      </c>
      <c r="J141" s="292" t="n">
        <v>37926</v>
      </c>
      <c r="K141" s="319" t="n">
        <f aca="false">($G$35/C141)</f>
        <v>0.998682476943346</v>
      </c>
      <c r="L141" s="320" t="n">
        <f aca="false">($H$35/D141)</f>
        <v>0.99869109947644</v>
      </c>
    </row>
    <row r="142" customFormat="false" ht="15" hidden="false" customHeight="false" outlineLevel="0" collapsed="false">
      <c r="B142" s="288" t="n">
        <v>37956</v>
      </c>
      <c r="C142" s="308" t="n">
        <v>76.3</v>
      </c>
      <c r="D142" s="289" t="n">
        <v>76.7</v>
      </c>
      <c r="J142" s="292" t="n">
        <v>37956</v>
      </c>
      <c r="K142" s="319" t="n">
        <f aca="false">($G$35/C142)</f>
        <v>0.993446920052425</v>
      </c>
      <c r="L142" s="320" t="n">
        <f aca="false">($H$35/D142)</f>
        <v>0.994784876140808</v>
      </c>
    </row>
    <row r="143" customFormat="false" ht="15" hidden="false" customHeight="false" outlineLevel="0" collapsed="false">
      <c r="B143" s="288" t="n">
        <v>37987</v>
      </c>
      <c r="C143" s="308" t="n">
        <v>76</v>
      </c>
      <c r="D143" s="289" t="n">
        <v>76.3</v>
      </c>
      <c r="J143" s="292" t="n">
        <v>37987</v>
      </c>
      <c r="K143" s="319" t="n">
        <f aca="false">($G$35/C143)</f>
        <v>0.997368421052632</v>
      </c>
      <c r="L143" s="320" t="n">
        <f aca="false">($H$35/D143)</f>
        <v>1</v>
      </c>
    </row>
    <row r="144" customFormat="false" ht="15" hidden="false" customHeight="false" outlineLevel="0" collapsed="false">
      <c r="B144" s="288" t="n">
        <v>38018</v>
      </c>
      <c r="C144" s="308" t="n">
        <v>76.1</v>
      </c>
      <c r="D144" s="289" t="n">
        <v>76.4</v>
      </c>
      <c r="J144" s="292" t="n">
        <v>38018</v>
      </c>
      <c r="K144" s="319" t="n">
        <f aca="false">($G$35/C144)</f>
        <v>0.996057818659658</v>
      </c>
      <c r="L144" s="320" t="n">
        <f aca="false">($H$35/D144)</f>
        <v>0.99869109947644</v>
      </c>
    </row>
    <row r="145" customFormat="false" ht="15.4" hidden="false" customHeight="false" outlineLevel="0" collapsed="false">
      <c r="B145" s="299" t="n">
        <v>38047</v>
      </c>
      <c r="C145" s="312" t="n">
        <v>76.4</v>
      </c>
      <c r="D145" s="301" t="n">
        <v>76.6</v>
      </c>
      <c r="J145" s="302" t="n">
        <v>38047</v>
      </c>
      <c r="K145" s="332" t="n">
        <f aca="false">($G$35/C145)</f>
        <v>0.992146596858639</v>
      </c>
      <c r="L145" s="333" t="n">
        <f aca="false">($H$35/D145)</f>
        <v>0.996083550913838</v>
      </c>
    </row>
    <row r="146" customFormat="false" ht="15" hidden="false" customHeight="false" outlineLevel="0" collapsed="false">
      <c r="B146" s="305" t="n">
        <v>38078</v>
      </c>
      <c r="C146" s="306" t="n">
        <v>76.7</v>
      </c>
      <c r="D146" s="281" t="n">
        <v>76.8</v>
      </c>
      <c r="J146" s="307" t="n">
        <v>38078</v>
      </c>
      <c r="K146" s="326" t="n">
        <f aca="false">($G$36/C146)</f>
        <v>1.01173402868318</v>
      </c>
      <c r="L146" s="327" t="n">
        <f aca="false">($H$36/D146)</f>
        <v>1.00651041666667</v>
      </c>
    </row>
    <row r="147" customFormat="false" ht="15" hidden="false" customHeight="false" outlineLevel="0" collapsed="false">
      <c r="B147" s="288" t="n">
        <v>38108</v>
      </c>
      <c r="C147" s="308" t="n">
        <v>77</v>
      </c>
      <c r="D147" s="289" t="n">
        <v>77.1</v>
      </c>
      <c r="J147" s="292" t="n">
        <v>38108</v>
      </c>
      <c r="K147" s="319" t="n">
        <f aca="false">($G$36/C147)</f>
        <v>1.00779220779221</v>
      </c>
      <c r="L147" s="320" t="n">
        <f aca="false">($H$36/D147)</f>
        <v>1.00259403372244</v>
      </c>
    </row>
    <row r="148" customFormat="false" ht="15" hidden="false" customHeight="false" outlineLevel="0" collapsed="false">
      <c r="B148" s="288" t="n">
        <v>38139</v>
      </c>
      <c r="C148" s="308" t="n">
        <v>77.1</v>
      </c>
      <c r="D148" s="289" t="n">
        <v>77</v>
      </c>
      <c r="J148" s="292" t="n">
        <v>38139</v>
      </c>
      <c r="K148" s="319" t="n">
        <f aca="false">($G$36/C148)</f>
        <v>1.0064850843061</v>
      </c>
      <c r="L148" s="320" t="n">
        <f aca="false">($H$36/D148)</f>
        <v>1.0038961038961</v>
      </c>
    </row>
    <row r="149" customFormat="false" ht="15" hidden="false" customHeight="false" outlineLevel="0" collapsed="false">
      <c r="B149" s="288" t="n">
        <v>38169</v>
      </c>
      <c r="C149" s="308" t="n">
        <v>77.1</v>
      </c>
      <c r="D149" s="289" t="n">
        <v>76.8</v>
      </c>
      <c r="J149" s="292" t="n">
        <v>38169</v>
      </c>
      <c r="K149" s="319" t="n">
        <f aca="false">($G$36/C149)</f>
        <v>1.0064850843061</v>
      </c>
      <c r="L149" s="320" t="n">
        <f aca="false">($H$36/D149)</f>
        <v>1.00651041666667</v>
      </c>
    </row>
    <row r="150" customFormat="false" ht="15" hidden="false" customHeight="false" outlineLevel="0" collapsed="false">
      <c r="B150" s="288" t="n">
        <v>38200</v>
      </c>
      <c r="C150" s="308" t="n">
        <v>77.3</v>
      </c>
      <c r="D150" s="289" t="n">
        <v>77</v>
      </c>
      <c r="J150" s="292" t="n">
        <v>38200</v>
      </c>
      <c r="K150" s="319" t="n">
        <f aca="false">($G$36/C150)</f>
        <v>1.00388098318241</v>
      </c>
      <c r="L150" s="320" t="n">
        <f aca="false">($H$36/D150)</f>
        <v>1.0038961038961</v>
      </c>
    </row>
    <row r="151" customFormat="false" ht="15" hidden="false" customHeight="false" outlineLevel="0" collapsed="false">
      <c r="B151" s="288" t="n">
        <v>38231</v>
      </c>
      <c r="C151" s="308" t="n">
        <v>77.5</v>
      </c>
      <c r="D151" s="289" t="n">
        <v>77.1</v>
      </c>
      <c r="J151" s="292" t="n">
        <v>38231</v>
      </c>
      <c r="K151" s="319" t="n">
        <f aca="false">($G$36/C151)</f>
        <v>1.00129032258065</v>
      </c>
      <c r="L151" s="320" t="n">
        <f aca="false">($H$36/D151)</f>
        <v>1.00259403372244</v>
      </c>
    </row>
    <row r="152" customFormat="false" ht="15" hidden="false" customHeight="false" outlineLevel="0" collapsed="false">
      <c r="B152" s="288" t="n">
        <v>38261</v>
      </c>
      <c r="C152" s="308" t="n">
        <v>77.7</v>
      </c>
      <c r="D152" s="289" t="n">
        <v>77.3</v>
      </c>
      <c r="J152" s="292" t="n">
        <v>38261</v>
      </c>
      <c r="K152" s="319" t="n">
        <f aca="false">($G$36/C152)</f>
        <v>0.998712998712998</v>
      </c>
      <c r="L152" s="320" t="n">
        <f aca="false">($H$36/D152)</f>
        <v>1</v>
      </c>
    </row>
    <row r="153" customFormat="false" ht="15" hidden="false" customHeight="false" outlineLevel="0" collapsed="false">
      <c r="B153" s="288" t="n">
        <v>38292</v>
      </c>
      <c r="C153" s="308" t="n">
        <v>77.9</v>
      </c>
      <c r="D153" s="289" t="n">
        <v>77.4</v>
      </c>
      <c r="J153" s="292" t="n">
        <v>38292</v>
      </c>
      <c r="K153" s="319" t="n">
        <f aca="false">($G$36/C153)</f>
        <v>0.996148908857509</v>
      </c>
      <c r="L153" s="320" t="n">
        <f aca="false">($H$36/D153)</f>
        <v>0.998708010335917</v>
      </c>
    </row>
    <row r="154" customFormat="false" ht="15" hidden="false" customHeight="false" outlineLevel="0" collapsed="false">
      <c r="B154" s="288" t="n">
        <v>38322</v>
      </c>
      <c r="C154" s="308" t="n">
        <v>78.3</v>
      </c>
      <c r="D154" s="289" t="n">
        <v>77.9</v>
      </c>
      <c r="J154" s="292" t="n">
        <v>38322</v>
      </c>
      <c r="K154" s="319" t="n">
        <f aca="false">($G$36/C154)</f>
        <v>0.991060025542784</v>
      </c>
      <c r="L154" s="320" t="n">
        <f aca="false">($H$36/D154)</f>
        <v>0.992297817715019</v>
      </c>
    </row>
    <row r="155" customFormat="false" ht="15" hidden="false" customHeight="false" outlineLevel="0" collapsed="false">
      <c r="B155" s="288" t="n">
        <v>38353</v>
      </c>
      <c r="C155" s="308" t="n">
        <v>77.9</v>
      </c>
      <c r="D155" s="289" t="n">
        <v>77.4</v>
      </c>
      <c r="J155" s="292" t="n">
        <v>38353</v>
      </c>
      <c r="K155" s="319" t="n">
        <f aca="false">($G$36/C155)</f>
        <v>0.996148908857509</v>
      </c>
      <c r="L155" s="320" t="n">
        <f aca="false">($H$36/D155)</f>
        <v>0.998708010335917</v>
      </c>
    </row>
    <row r="156" customFormat="false" ht="15" hidden="false" customHeight="false" outlineLevel="0" collapsed="false">
      <c r="B156" s="288" t="n">
        <v>38384</v>
      </c>
      <c r="C156" s="308" t="n">
        <v>78.2</v>
      </c>
      <c r="D156" s="289" t="n">
        <v>77.6</v>
      </c>
      <c r="J156" s="292" t="n">
        <v>38384</v>
      </c>
      <c r="K156" s="319" t="n">
        <f aca="false">($G$36/C156)</f>
        <v>0.9923273657289</v>
      </c>
      <c r="L156" s="320" t="n">
        <f aca="false">($H$36/D156)</f>
        <v>0.996134020618557</v>
      </c>
    </row>
    <row r="157" customFormat="false" ht="15.4" hidden="false" customHeight="false" outlineLevel="0" collapsed="false">
      <c r="B157" s="299" t="n">
        <v>38412</v>
      </c>
      <c r="C157" s="312" t="n">
        <v>78.5</v>
      </c>
      <c r="D157" s="301" t="n">
        <v>78</v>
      </c>
      <c r="J157" s="302" t="n">
        <v>38412</v>
      </c>
      <c r="K157" s="332" t="n">
        <f aca="false">($G$36/C157)</f>
        <v>0.988535031847134</v>
      </c>
      <c r="L157" s="333" t="n">
        <f aca="false">($H$36/D157)</f>
        <v>0.991025641025641</v>
      </c>
    </row>
    <row r="158" customFormat="false" ht="15" hidden="false" customHeight="false" outlineLevel="0" collapsed="false">
      <c r="B158" s="305" t="n">
        <v>38443</v>
      </c>
      <c r="C158" s="306" t="n">
        <v>78.8</v>
      </c>
      <c r="D158" s="281" t="n">
        <v>78.1</v>
      </c>
      <c r="J158" s="307" t="n">
        <v>38443</v>
      </c>
      <c r="K158" s="326" t="n">
        <f aca="false">($G$37/C158)</f>
        <v>1.00888324873096</v>
      </c>
      <c r="L158" s="327" t="n">
        <f aca="false">($H$37/D158)</f>
        <v>1.0089628681178</v>
      </c>
    </row>
    <row r="159" customFormat="false" ht="15" hidden="false" customHeight="false" outlineLevel="0" collapsed="false">
      <c r="B159" s="288" t="n">
        <v>38473</v>
      </c>
      <c r="C159" s="308" t="n">
        <v>79.1</v>
      </c>
      <c r="D159" s="289" t="n">
        <v>78.4</v>
      </c>
      <c r="J159" s="292" t="n">
        <v>38473</v>
      </c>
      <c r="K159" s="319" t="n">
        <f aca="false">($G$37/C159)</f>
        <v>1.00505689001264</v>
      </c>
      <c r="L159" s="320" t="n">
        <f aca="false">($H$37/D159)</f>
        <v>1.00510204081633</v>
      </c>
    </row>
    <row r="160" customFormat="false" ht="15" hidden="false" customHeight="false" outlineLevel="0" collapsed="false">
      <c r="B160" s="288" t="n">
        <v>38504</v>
      </c>
      <c r="C160" s="308" t="n">
        <v>79.2</v>
      </c>
      <c r="D160" s="289" t="n">
        <v>78.4</v>
      </c>
      <c r="J160" s="292" t="n">
        <v>38504</v>
      </c>
      <c r="K160" s="319" t="n">
        <f aca="false">($G$37/C160)</f>
        <v>1.00378787878788</v>
      </c>
      <c r="L160" s="320" t="n">
        <f aca="false">($H$37/D160)</f>
        <v>1.00510204081633</v>
      </c>
    </row>
    <row r="161" customFormat="false" ht="15" hidden="false" customHeight="false" outlineLevel="0" collapsed="false">
      <c r="B161" s="288" t="n">
        <v>38534</v>
      </c>
      <c r="C161" s="308" t="n">
        <v>79.3</v>
      </c>
      <c r="D161" s="289" t="n">
        <v>78.5</v>
      </c>
      <c r="J161" s="292" t="n">
        <v>38534</v>
      </c>
      <c r="K161" s="319" t="n">
        <f aca="false">($G$37/C161)</f>
        <v>1.00252206809584</v>
      </c>
      <c r="L161" s="320" t="n">
        <f aca="false">($H$37/D161)</f>
        <v>1.00382165605096</v>
      </c>
    </row>
    <row r="162" customFormat="false" ht="15" hidden="false" customHeight="false" outlineLevel="0" collapsed="false">
      <c r="B162" s="288" t="n">
        <v>38565</v>
      </c>
      <c r="C162" s="308" t="n">
        <v>79.5</v>
      </c>
      <c r="D162" s="289" t="n">
        <v>78.8</v>
      </c>
      <c r="J162" s="292" t="n">
        <v>38565</v>
      </c>
      <c r="K162" s="319" t="n">
        <f aca="false">($G$37/C162)</f>
        <v>1</v>
      </c>
      <c r="L162" s="320" t="n">
        <f aca="false">($H$37/D162)</f>
        <v>1</v>
      </c>
    </row>
    <row r="163" customFormat="false" ht="15" hidden="false" customHeight="false" outlineLevel="0" collapsed="false">
      <c r="B163" s="288" t="n">
        <v>38596</v>
      </c>
      <c r="C163" s="308" t="n">
        <v>79.5</v>
      </c>
      <c r="D163" s="289" t="n">
        <v>78.9</v>
      </c>
      <c r="J163" s="292" t="n">
        <v>38596</v>
      </c>
      <c r="K163" s="319" t="n">
        <f aca="false">($G$37/C163)</f>
        <v>1</v>
      </c>
      <c r="L163" s="320" t="n">
        <f aca="false">($H$37/D163)</f>
        <v>0.998732572877059</v>
      </c>
    </row>
    <row r="164" customFormat="false" ht="15" hidden="false" customHeight="false" outlineLevel="0" collapsed="false">
      <c r="B164" s="288" t="n">
        <v>38626</v>
      </c>
      <c r="C164" s="308" t="n">
        <v>79.7</v>
      </c>
      <c r="D164" s="289" t="n">
        <v>79</v>
      </c>
      <c r="J164" s="292" t="n">
        <v>38626</v>
      </c>
      <c r="K164" s="319" t="n">
        <f aca="false">($G$37/C164)</f>
        <v>0.997490589711418</v>
      </c>
      <c r="L164" s="320" t="n">
        <f aca="false">($H$37/D164)</f>
        <v>0.99746835443038</v>
      </c>
    </row>
    <row r="165" customFormat="false" ht="15" hidden="false" customHeight="false" outlineLevel="0" collapsed="false">
      <c r="B165" s="288" t="n">
        <v>38657</v>
      </c>
      <c r="C165" s="308" t="n">
        <v>79.7</v>
      </c>
      <c r="D165" s="289" t="n">
        <v>79</v>
      </c>
      <c r="J165" s="292" t="n">
        <v>38657</v>
      </c>
      <c r="K165" s="319" t="n">
        <f aca="false">($G$37/C165)</f>
        <v>0.997490589711418</v>
      </c>
      <c r="L165" s="320" t="n">
        <f aca="false">($H$37/D165)</f>
        <v>0.99746835443038</v>
      </c>
    </row>
    <row r="166" customFormat="false" ht="15" hidden="false" customHeight="false" outlineLevel="0" collapsed="false">
      <c r="B166" s="288" t="n">
        <v>38687</v>
      </c>
      <c r="C166" s="308" t="n">
        <v>80</v>
      </c>
      <c r="D166" s="289" t="n">
        <v>79.2</v>
      </c>
      <c r="J166" s="292" t="n">
        <v>38687</v>
      </c>
      <c r="K166" s="319" t="n">
        <f aca="false">($G$37/C166)</f>
        <v>0.99375</v>
      </c>
      <c r="L166" s="320" t="n">
        <f aca="false">($H$37/D166)</f>
        <v>0.994949494949495</v>
      </c>
    </row>
    <row r="167" customFormat="false" ht="15" hidden="false" customHeight="false" outlineLevel="0" collapsed="false">
      <c r="B167" s="288" t="n">
        <v>38718</v>
      </c>
      <c r="C167" s="308" t="n">
        <v>79.6</v>
      </c>
      <c r="D167" s="289" t="n">
        <v>78.8</v>
      </c>
      <c r="J167" s="292" t="n">
        <v>38718</v>
      </c>
      <c r="K167" s="319" t="n">
        <f aca="false">($G$37/C167)</f>
        <v>0.998743718592965</v>
      </c>
      <c r="L167" s="320" t="n">
        <f aca="false">($H$37/D167)</f>
        <v>1</v>
      </c>
    </row>
    <row r="168" customFormat="false" ht="15" hidden="false" customHeight="false" outlineLevel="0" collapsed="false">
      <c r="B168" s="288" t="n">
        <v>38749</v>
      </c>
      <c r="C168" s="308" t="n">
        <v>79.9</v>
      </c>
      <c r="D168" s="289" t="n">
        <v>79.1</v>
      </c>
      <c r="J168" s="292" t="n">
        <v>38749</v>
      </c>
      <c r="K168" s="319" t="n">
        <f aca="false">($G$37/C168)</f>
        <v>0.994993742177722</v>
      </c>
      <c r="L168" s="320" t="n">
        <f aca="false">($H$37/D168)</f>
        <v>0.996207332490518</v>
      </c>
    </row>
    <row r="169" customFormat="false" ht="15.4" hidden="false" customHeight="false" outlineLevel="0" collapsed="false">
      <c r="B169" s="299" t="n">
        <v>38777</v>
      </c>
      <c r="C169" s="312" t="n">
        <v>80.1</v>
      </c>
      <c r="D169" s="301" t="n">
        <v>79.3</v>
      </c>
      <c r="J169" s="302" t="n">
        <v>38777</v>
      </c>
      <c r="K169" s="332" t="n">
        <f aca="false">($G$37/C169)</f>
        <v>0.99250936329588</v>
      </c>
      <c r="L169" s="333" t="n">
        <f aca="false">($H$37/D169)</f>
        <v>0.993694829760404</v>
      </c>
    </row>
    <row r="170" customFormat="false" ht="15" hidden="false" customHeight="false" outlineLevel="0" collapsed="false">
      <c r="B170" s="305" t="n">
        <v>38808</v>
      </c>
      <c r="C170" s="306" t="n">
        <v>80.5</v>
      </c>
      <c r="D170" s="281" t="n">
        <v>79.7</v>
      </c>
      <c r="J170" s="307" t="n">
        <v>38808</v>
      </c>
      <c r="K170" s="326" t="n">
        <f aca="false">($G$38/C170)</f>
        <v>1.01739130434783</v>
      </c>
      <c r="L170" s="327" t="n">
        <f aca="false">($H$38/D170)</f>
        <v>1.0138017565872</v>
      </c>
    </row>
    <row r="171" customFormat="false" ht="15" hidden="false" customHeight="false" outlineLevel="0" collapsed="false">
      <c r="B171" s="288" t="n">
        <v>38838</v>
      </c>
      <c r="C171" s="308" t="n">
        <v>81</v>
      </c>
      <c r="D171" s="289" t="n">
        <v>80.1</v>
      </c>
      <c r="J171" s="292" t="n">
        <v>38838</v>
      </c>
      <c r="K171" s="319" t="n">
        <f aca="false">($G$38/C171)</f>
        <v>1.01111111111111</v>
      </c>
      <c r="L171" s="320" t="n">
        <f aca="false">($H$38/D171)</f>
        <v>1.00873907615481</v>
      </c>
    </row>
    <row r="172" customFormat="false" ht="15" hidden="false" customHeight="false" outlineLevel="0" collapsed="false">
      <c r="B172" s="288" t="n">
        <v>38869</v>
      </c>
      <c r="C172" s="308" t="n">
        <v>81.2</v>
      </c>
      <c r="D172" s="289" t="n">
        <v>80.4</v>
      </c>
      <c r="J172" s="292" t="n">
        <v>38869</v>
      </c>
      <c r="K172" s="319" t="n">
        <f aca="false">($G$38/C172)</f>
        <v>1.00862068965517</v>
      </c>
      <c r="L172" s="320" t="n">
        <f aca="false">($H$38/D172)</f>
        <v>1.00497512437811</v>
      </c>
    </row>
    <row r="173" customFormat="false" ht="15" hidden="false" customHeight="false" outlineLevel="0" collapsed="false">
      <c r="B173" s="288" t="n">
        <v>38899</v>
      </c>
      <c r="C173" s="308" t="n">
        <v>81.2</v>
      </c>
      <c r="D173" s="289" t="n">
        <v>80.3</v>
      </c>
      <c r="J173" s="292" t="n">
        <v>38899</v>
      </c>
      <c r="K173" s="319" t="n">
        <f aca="false">($G$38/C173)</f>
        <v>1.00862068965517</v>
      </c>
      <c r="L173" s="320" t="n">
        <f aca="false">($H$38/D173)</f>
        <v>1.00622665006227</v>
      </c>
    </row>
    <row r="174" customFormat="false" ht="15" hidden="false" customHeight="false" outlineLevel="0" collapsed="false">
      <c r="B174" s="288" t="n">
        <v>38930</v>
      </c>
      <c r="C174" s="308" t="n">
        <v>81.6</v>
      </c>
      <c r="D174" s="289" t="n">
        <v>80.7</v>
      </c>
      <c r="J174" s="292" t="n">
        <v>38930</v>
      </c>
      <c r="K174" s="319" t="n">
        <f aca="false">($G$38/C174)</f>
        <v>1.00367647058824</v>
      </c>
      <c r="L174" s="320" t="n">
        <f aca="false">($H$38/D174)</f>
        <v>1.00123915737299</v>
      </c>
    </row>
    <row r="175" customFormat="false" ht="15" hidden="false" customHeight="false" outlineLevel="0" collapsed="false">
      <c r="B175" s="288" t="n">
        <v>38961</v>
      </c>
      <c r="C175" s="308" t="n">
        <v>81.8</v>
      </c>
      <c r="D175" s="289" t="n">
        <v>80.7</v>
      </c>
      <c r="J175" s="292" t="n">
        <v>38961</v>
      </c>
      <c r="K175" s="319" t="n">
        <f aca="false">($G$38/C175)</f>
        <v>1.00122249388753</v>
      </c>
      <c r="L175" s="320" t="n">
        <f aca="false">($H$38/D175)</f>
        <v>1.00123915737299</v>
      </c>
    </row>
    <row r="176" customFormat="false" ht="15" hidden="false" customHeight="false" outlineLevel="0" collapsed="false">
      <c r="B176" s="288" t="n">
        <v>38991</v>
      </c>
      <c r="C176" s="308" t="n">
        <v>82</v>
      </c>
      <c r="D176" s="289" t="n">
        <v>80.9</v>
      </c>
      <c r="J176" s="292" t="n">
        <v>38991</v>
      </c>
      <c r="K176" s="319" t="n">
        <f aca="false">($G$38/C176)</f>
        <v>0.998780487804878</v>
      </c>
      <c r="L176" s="320" t="n">
        <f aca="false">($H$38/D176)</f>
        <v>0.99876390605686</v>
      </c>
    </row>
    <row r="177" customFormat="false" ht="15" hidden="false" customHeight="false" outlineLevel="0" collapsed="false">
      <c r="B177" s="288" t="n">
        <v>39022</v>
      </c>
      <c r="C177" s="308" t="n">
        <v>82.2</v>
      </c>
      <c r="D177" s="289" t="n">
        <v>81.1</v>
      </c>
      <c r="J177" s="292" t="n">
        <v>39022</v>
      </c>
      <c r="K177" s="319" t="n">
        <f aca="false">($G$38/C177)</f>
        <v>0.996350364963504</v>
      </c>
      <c r="L177" s="320" t="n">
        <f aca="false">($H$38/D177)</f>
        <v>0.996300863131936</v>
      </c>
    </row>
    <row r="178" customFormat="false" ht="15" hidden="false" customHeight="false" outlineLevel="0" collapsed="false">
      <c r="B178" s="288" t="n">
        <v>39052</v>
      </c>
      <c r="C178" s="308" t="n">
        <v>82.8</v>
      </c>
      <c r="D178" s="289" t="n">
        <v>81.6</v>
      </c>
      <c r="J178" s="292" t="n">
        <v>39052</v>
      </c>
      <c r="K178" s="319" t="n">
        <f aca="false">($G$38/C178)</f>
        <v>0.989130434782609</v>
      </c>
      <c r="L178" s="320" t="n">
        <f aca="false">($H$38/D178)</f>
        <v>0.990196078431373</v>
      </c>
    </row>
    <row r="179" customFormat="false" ht="15" hidden="false" customHeight="false" outlineLevel="0" collapsed="false">
      <c r="B179" s="288" t="n">
        <v>39083</v>
      </c>
      <c r="C179" s="308" t="n">
        <v>82.3</v>
      </c>
      <c r="D179" s="289" t="n">
        <v>80.9</v>
      </c>
      <c r="J179" s="292" t="n">
        <v>39083</v>
      </c>
      <c r="K179" s="319" t="n">
        <f aca="false">($G$38/C179)</f>
        <v>0.995139732685298</v>
      </c>
      <c r="L179" s="320" t="n">
        <f aca="false">($H$38/D179)</f>
        <v>0.99876390605686</v>
      </c>
    </row>
    <row r="180" customFormat="false" ht="15" hidden="false" customHeight="false" outlineLevel="0" collapsed="false">
      <c r="B180" s="288" t="n">
        <v>39114</v>
      </c>
      <c r="C180" s="308" t="n">
        <v>82.8</v>
      </c>
      <c r="D180" s="289" t="n">
        <v>81.2</v>
      </c>
      <c r="J180" s="292" t="n">
        <v>39114</v>
      </c>
      <c r="K180" s="319" t="n">
        <f aca="false">($G$38/C180)</f>
        <v>0.989130434782609</v>
      </c>
      <c r="L180" s="320" t="n">
        <f aca="false">($H$38/D180)</f>
        <v>0.995073891625616</v>
      </c>
    </row>
    <row r="181" customFormat="false" ht="15.4" hidden="false" customHeight="false" outlineLevel="0" collapsed="false">
      <c r="B181" s="299" t="n">
        <v>39142</v>
      </c>
      <c r="C181" s="312" t="n">
        <v>83.2</v>
      </c>
      <c r="D181" s="301" t="n">
        <v>81.6</v>
      </c>
      <c r="J181" s="302" t="n">
        <v>39142</v>
      </c>
      <c r="K181" s="332" t="n">
        <f aca="false">($G$38/C181)</f>
        <v>0.984375</v>
      </c>
      <c r="L181" s="333" t="n">
        <f aca="false">($H$38/D181)</f>
        <v>0.990196078431373</v>
      </c>
    </row>
    <row r="182" customFormat="false" ht="15" hidden="false" customHeight="false" outlineLevel="0" collapsed="false">
      <c r="B182" s="305" t="n">
        <v>39173</v>
      </c>
      <c r="C182" s="306" t="n">
        <v>83.5</v>
      </c>
      <c r="D182" s="281" t="n">
        <v>81.8</v>
      </c>
      <c r="J182" s="307" t="n">
        <v>39173</v>
      </c>
      <c r="K182" s="326" t="n">
        <f aca="false">($G$39/C182)</f>
        <v>1.01197604790419</v>
      </c>
      <c r="L182" s="327" t="n">
        <f aca="false">($H$39/D182)</f>
        <v>1.00733496332518</v>
      </c>
    </row>
    <row r="183" customFormat="false" ht="15" hidden="false" customHeight="false" outlineLevel="0" collapsed="false">
      <c r="B183" s="288" t="n">
        <v>39203</v>
      </c>
      <c r="C183" s="308" t="n">
        <v>83.7</v>
      </c>
      <c r="D183" s="289" t="n">
        <v>82</v>
      </c>
      <c r="J183" s="292" t="n">
        <v>39203</v>
      </c>
      <c r="K183" s="319" t="n">
        <f aca="false">($G$39/C183)</f>
        <v>1.00955794504182</v>
      </c>
      <c r="L183" s="320" t="n">
        <f aca="false">($H$39/D183)</f>
        <v>1.00487804878049</v>
      </c>
    </row>
    <row r="184" customFormat="false" ht="15" hidden="false" customHeight="false" outlineLevel="0" collapsed="false">
      <c r="B184" s="288" t="n">
        <v>39234</v>
      </c>
      <c r="C184" s="308" t="n">
        <v>84.1</v>
      </c>
      <c r="D184" s="289" t="n">
        <v>82.2</v>
      </c>
      <c r="J184" s="292" t="n">
        <v>39234</v>
      </c>
      <c r="K184" s="319" t="n">
        <f aca="false">($G$39/C184)</f>
        <v>1.00475624256837</v>
      </c>
      <c r="L184" s="320" t="n">
        <f aca="false">($H$39/D184)</f>
        <v>1.00243309002433</v>
      </c>
    </row>
    <row r="185" customFormat="false" ht="15" hidden="false" customHeight="false" outlineLevel="0" collapsed="false">
      <c r="B185" s="288" t="n">
        <v>39264</v>
      </c>
      <c r="C185" s="308" t="n">
        <v>83.6</v>
      </c>
      <c r="D185" s="289" t="n">
        <v>81.6</v>
      </c>
      <c r="J185" s="292" t="n">
        <v>39264</v>
      </c>
      <c r="K185" s="319" t="n">
        <f aca="false">($G$39/C185)</f>
        <v>1.01076555023923</v>
      </c>
      <c r="L185" s="320" t="n">
        <f aca="false">($H$39/D185)</f>
        <v>1.00980392156863</v>
      </c>
    </row>
    <row r="186" customFormat="false" ht="15" hidden="false" customHeight="false" outlineLevel="0" collapsed="false">
      <c r="B186" s="288" t="n">
        <v>39295</v>
      </c>
      <c r="C186" s="308" t="n">
        <v>84.1</v>
      </c>
      <c r="D186" s="289" t="n">
        <v>82</v>
      </c>
      <c r="J186" s="292" t="n">
        <v>39295</v>
      </c>
      <c r="K186" s="319" t="n">
        <f aca="false">($G$39/C186)</f>
        <v>1.00475624256837</v>
      </c>
      <c r="L186" s="320" t="n">
        <f aca="false">($H$39/D186)</f>
        <v>1.00487804878049</v>
      </c>
    </row>
    <row r="187" customFormat="false" ht="15" hidden="false" customHeight="false" outlineLevel="0" collapsed="false">
      <c r="B187" s="288" t="n">
        <v>39326</v>
      </c>
      <c r="C187" s="308" t="n">
        <v>84.2</v>
      </c>
      <c r="D187" s="289" t="n">
        <v>82</v>
      </c>
      <c r="J187" s="292" t="n">
        <v>39326</v>
      </c>
      <c r="K187" s="319" t="n">
        <f aca="false">($G$39/C187)</f>
        <v>1.00356294536817</v>
      </c>
      <c r="L187" s="320" t="n">
        <f aca="false">($H$39/D187)</f>
        <v>1.00487804878049</v>
      </c>
    </row>
    <row r="188" customFormat="false" ht="15" hidden="false" customHeight="false" outlineLevel="0" collapsed="false">
      <c r="B188" s="288" t="n">
        <v>39356</v>
      </c>
      <c r="C188" s="308" t="n">
        <v>84.6</v>
      </c>
      <c r="D188" s="289" t="n">
        <v>82.4</v>
      </c>
      <c r="J188" s="292" t="n">
        <v>39356</v>
      </c>
      <c r="K188" s="319" t="n">
        <f aca="false">($G$39/C188)</f>
        <v>0.998817966903073</v>
      </c>
      <c r="L188" s="320" t="n">
        <f aca="false">($H$39/D188)</f>
        <v>1</v>
      </c>
    </row>
    <row r="189" customFormat="false" ht="15" hidden="false" customHeight="false" outlineLevel="0" collapsed="false">
      <c r="B189" s="288" t="n">
        <v>39387</v>
      </c>
      <c r="C189" s="308" t="n">
        <v>84.8</v>
      </c>
      <c r="D189" s="289" t="n">
        <v>82.7</v>
      </c>
      <c r="J189" s="292" t="n">
        <v>39387</v>
      </c>
      <c r="K189" s="319" t="n">
        <f aca="false">($G$39/C189)</f>
        <v>0.996462264150943</v>
      </c>
      <c r="L189" s="320" t="n">
        <f aca="false">($H$39/D189)</f>
        <v>0.996372430471584</v>
      </c>
    </row>
    <row r="190" customFormat="false" ht="15" hidden="false" customHeight="false" outlineLevel="0" collapsed="false">
      <c r="B190" s="288" t="n">
        <v>39417</v>
      </c>
      <c r="C190" s="308" t="n">
        <v>85.3</v>
      </c>
      <c r="D190" s="289" t="n">
        <v>83.2</v>
      </c>
      <c r="J190" s="292" t="n">
        <v>39417</v>
      </c>
      <c r="K190" s="319" t="n">
        <f aca="false">($G$39/C190)</f>
        <v>0.990621336459554</v>
      </c>
      <c r="L190" s="320" t="n">
        <f aca="false">($H$39/D190)</f>
        <v>0.990384615384615</v>
      </c>
    </row>
    <row r="191" customFormat="false" ht="15" hidden="false" customHeight="false" outlineLevel="0" collapsed="false">
      <c r="B191" s="288" t="n">
        <v>39448</v>
      </c>
      <c r="C191" s="308" t="n">
        <v>84.7</v>
      </c>
      <c r="D191" s="289" t="n">
        <v>82.5</v>
      </c>
      <c r="J191" s="292" t="n">
        <v>39448</v>
      </c>
      <c r="K191" s="319" t="n">
        <f aca="false">($G$39/C191)</f>
        <v>0.997638724911452</v>
      </c>
      <c r="L191" s="320" t="n">
        <f aca="false">($H$39/D191)</f>
        <v>0.998787878787879</v>
      </c>
    </row>
    <row r="192" customFormat="false" ht="15" hidden="false" customHeight="false" outlineLevel="0" collapsed="false">
      <c r="B192" s="288" t="n">
        <v>39479</v>
      </c>
      <c r="C192" s="308" t="n">
        <v>85.3</v>
      </c>
      <c r="D192" s="289" t="n">
        <v>83.1</v>
      </c>
      <c r="J192" s="292" t="n">
        <v>39479</v>
      </c>
      <c r="K192" s="319" t="n">
        <f aca="false">($G$39/C192)</f>
        <v>0.990621336459554</v>
      </c>
      <c r="L192" s="320" t="n">
        <f aca="false">($H$39/D192)</f>
        <v>0.991576413959086</v>
      </c>
    </row>
    <row r="193" customFormat="false" ht="15.4" hidden="false" customHeight="false" outlineLevel="0" collapsed="false">
      <c r="B193" s="299" t="n">
        <v>39508</v>
      </c>
      <c r="C193" s="312" t="n">
        <v>85.6</v>
      </c>
      <c r="D193" s="301" t="n">
        <v>83.5</v>
      </c>
      <c r="J193" s="302" t="n">
        <v>39508</v>
      </c>
      <c r="K193" s="332" t="n">
        <f aca="false">($G$39/C193)</f>
        <v>0.98714953271028</v>
      </c>
      <c r="L193" s="333" t="n">
        <f aca="false">($H$39/D193)</f>
        <v>0.986826347305389</v>
      </c>
    </row>
    <row r="194" customFormat="false" ht="15" hidden="false" customHeight="false" outlineLevel="0" collapsed="false">
      <c r="B194" s="305" t="n">
        <v>39539</v>
      </c>
      <c r="C194" s="306" t="n">
        <v>86.2</v>
      </c>
      <c r="D194" s="281" t="n">
        <v>84.1</v>
      </c>
      <c r="J194" s="307" t="n">
        <v>39539</v>
      </c>
      <c r="K194" s="326" t="n">
        <f aca="false">($G$40/C194)</f>
        <v>1.0092807424594</v>
      </c>
      <c r="L194" s="327" t="n">
        <f aca="false">($H$40/D194)</f>
        <v>1.0166468489893</v>
      </c>
    </row>
    <row r="195" customFormat="false" ht="15" hidden="false" customHeight="false" outlineLevel="0" collapsed="false">
      <c r="B195" s="288" t="n">
        <v>39569</v>
      </c>
      <c r="C195" s="308" t="n">
        <v>86.6</v>
      </c>
      <c r="D195" s="289" t="n">
        <v>84.7</v>
      </c>
      <c r="J195" s="292" t="n">
        <v>39569</v>
      </c>
      <c r="K195" s="319" t="n">
        <f aca="false">($G$40/C195)</f>
        <v>1.00461893764434</v>
      </c>
      <c r="L195" s="320" t="n">
        <f aca="false">($H$40/D195)</f>
        <v>1.00944510035419</v>
      </c>
    </row>
    <row r="196" customFormat="false" ht="15" hidden="false" customHeight="false" outlineLevel="0" collapsed="false">
      <c r="B196" s="288" t="n">
        <v>39600</v>
      </c>
      <c r="C196" s="308" t="n">
        <v>87.2</v>
      </c>
      <c r="D196" s="289" t="n">
        <v>85.3</v>
      </c>
      <c r="J196" s="292" t="n">
        <v>39600</v>
      </c>
      <c r="K196" s="319" t="n">
        <f aca="false">($G$40/C196)</f>
        <v>0.997706422018349</v>
      </c>
      <c r="L196" s="320" t="n">
        <f aca="false">($H$40/D196)</f>
        <v>1.00234466588511</v>
      </c>
    </row>
    <row r="197" customFormat="false" ht="15" hidden="false" customHeight="false" outlineLevel="0" collapsed="false">
      <c r="B197" s="288" t="n">
        <v>39630</v>
      </c>
      <c r="C197" s="308" t="n">
        <v>87.2</v>
      </c>
      <c r="D197" s="289" t="n">
        <v>85.3</v>
      </c>
      <c r="J197" s="292" t="n">
        <v>39630</v>
      </c>
      <c r="K197" s="319" t="n">
        <f aca="false">($G$40/C197)</f>
        <v>0.997706422018349</v>
      </c>
      <c r="L197" s="320" t="n">
        <f aca="false">($H$40/D197)</f>
        <v>1.00234466588511</v>
      </c>
    </row>
    <row r="198" customFormat="false" ht="15" hidden="false" customHeight="false" outlineLevel="0" collapsed="false">
      <c r="B198" s="288" t="n">
        <v>39661</v>
      </c>
      <c r="C198" s="308" t="n">
        <v>87.8</v>
      </c>
      <c r="D198" s="289" t="n">
        <v>85.9</v>
      </c>
      <c r="J198" s="292" t="n">
        <v>39661</v>
      </c>
      <c r="K198" s="319" t="n">
        <f aca="false">($G$40/C198)</f>
        <v>0.990888382687927</v>
      </c>
      <c r="L198" s="320" t="n">
        <f aca="false">($H$40/D198)</f>
        <v>0.9953434225844</v>
      </c>
    </row>
    <row r="199" customFormat="false" ht="15" hidden="false" customHeight="false" outlineLevel="0" collapsed="false">
      <c r="B199" s="288" t="n">
        <v>39692</v>
      </c>
      <c r="C199" s="308" t="n">
        <v>88.3</v>
      </c>
      <c r="D199" s="289" t="n">
        <v>86.3</v>
      </c>
      <c r="J199" s="292" t="n">
        <v>39692</v>
      </c>
      <c r="K199" s="319" t="n">
        <f aca="false">($G$40/C199)</f>
        <v>0.985277463193658</v>
      </c>
      <c r="L199" s="320" t="n">
        <f aca="false">($H$40/D199)</f>
        <v>0.990730011587485</v>
      </c>
    </row>
    <row r="200" customFormat="false" ht="15" hidden="false" customHeight="false" outlineLevel="0" collapsed="false">
      <c r="B200" s="288" t="n">
        <v>39722</v>
      </c>
      <c r="C200" s="308" t="n">
        <v>88.1</v>
      </c>
      <c r="D200" s="289" t="n">
        <v>86.1</v>
      </c>
      <c r="J200" s="292" t="n">
        <v>39722</v>
      </c>
      <c r="K200" s="319" t="n">
        <f aca="false">($G$40/C200)</f>
        <v>0.987514188422247</v>
      </c>
      <c r="L200" s="320" t="n">
        <f aca="false">($H$40/D200)</f>
        <v>0.993031358885017</v>
      </c>
    </row>
    <row r="201" customFormat="false" ht="15" hidden="false" customHeight="false" outlineLevel="0" collapsed="false">
      <c r="B201" s="288" t="n">
        <v>39753</v>
      </c>
      <c r="C201" s="308" t="n">
        <v>87.7</v>
      </c>
      <c r="D201" s="289" t="n">
        <v>86</v>
      </c>
      <c r="J201" s="292" t="n">
        <v>39753</v>
      </c>
      <c r="K201" s="319" t="n">
        <f aca="false">($G$40/C201)</f>
        <v>0.992018244013683</v>
      </c>
      <c r="L201" s="320" t="n">
        <f aca="false">($H$40/D201)</f>
        <v>0.994186046511628</v>
      </c>
    </row>
    <row r="202" customFormat="false" ht="15" hidden="false" customHeight="false" outlineLevel="0" collapsed="false">
      <c r="B202" s="288" t="n">
        <v>39783</v>
      </c>
      <c r="C202" s="308" t="n">
        <v>86.6</v>
      </c>
      <c r="D202" s="289" t="n">
        <v>85.6</v>
      </c>
      <c r="J202" s="292" t="n">
        <v>39783</v>
      </c>
      <c r="K202" s="319" t="n">
        <f aca="false">($G$40/C202)</f>
        <v>1.00461893764434</v>
      </c>
      <c r="L202" s="320" t="n">
        <f aca="false">($H$40/D202)</f>
        <v>0.998831775700935</v>
      </c>
    </row>
    <row r="203" customFormat="false" ht="15" hidden="false" customHeight="false" outlineLevel="0" collapsed="false">
      <c r="B203" s="288" t="n">
        <v>39814</v>
      </c>
      <c r="C203" s="308" t="n">
        <v>85.6</v>
      </c>
      <c r="D203" s="289" t="n">
        <v>84.9</v>
      </c>
      <c r="J203" s="292" t="n">
        <v>39814</v>
      </c>
      <c r="K203" s="319" t="n">
        <f aca="false">($G$40/C203)</f>
        <v>1.01635514018692</v>
      </c>
      <c r="L203" s="320" t="n">
        <f aca="false">($H$40/D203)</f>
        <v>1.00706713780919</v>
      </c>
    </row>
    <row r="204" customFormat="false" ht="15" hidden="false" customHeight="false" outlineLevel="0" collapsed="false">
      <c r="B204" s="288" t="n">
        <v>39845</v>
      </c>
      <c r="C204" s="308" t="n">
        <v>86.1</v>
      </c>
      <c r="D204" s="289" t="n">
        <v>85.7</v>
      </c>
      <c r="J204" s="292" t="n">
        <v>39845</v>
      </c>
      <c r="K204" s="319" t="n">
        <f aca="false">($G$40/C204)</f>
        <v>1.01045296167247</v>
      </c>
      <c r="L204" s="320" t="n">
        <f aca="false">($H$40/D204)</f>
        <v>0.997666277712952</v>
      </c>
    </row>
    <row r="205" customFormat="false" ht="15.4" hidden="false" customHeight="false" outlineLevel="0" collapsed="false">
      <c r="B205" s="299" t="n">
        <v>39873</v>
      </c>
      <c r="C205" s="312" t="n">
        <v>86.1</v>
      </c>
      <c r="D205" s="301" t="n">
        <v>85.9</v>
      </c>
      <c r="J205" s="302" t="n">
        <v>39873</v>
      </c>
      <c r="K205" s="332" t="n">
        <f aca="false">($G$40/C205)</f>
        <v>1.01045296167247</v>
      </c>
      <c r="L205" s="333" t="n">
        <f aca="false">($H$40/D205)</f>
        <v>0.9953434225844</v>
      </c>
    </row>
    <row r="206" customFormat="false" ht="15" hidden="false" customHeight="false" outlineLevel="0" collapsed="false">
      <c r="B206" s="305" t="n">
        <v>39904</v>
      </c>
      <c r="C206" s="306" t="n">
        <v>86.1</v>
      </c>
      <c r="D206" s="281" t="n">
        <v>86</v>
      </c>
      <c r="J206" s="307" t="n">
        <v>39904</v>
      </c>
      <c r="K206" s="326" t="n">
        <f aca="false">($G$41/C206)</f>
        <v>1.0150987224158</v>
      </c>
      <c r="L206" s="327" t="n">
        <f aca="false">($H$41/D206)</f>
        <v>1.01627906976744</v>
      </c>
    </row>
    <row r="207" customFormat="false" ht="15" hidden="false" customHeight="false" outlineLevel="0" collapsed="false">
      <c r="B207" s="288" t="n">
        <v>39934</v>
      </c>
      <c r="C207" s="308" t="n">
        <v>86.6</v>
      </c>
      <c r="D207" s="289" t="n">
        <v>86.5</v>
      </c>
      <c r="J207" s="292" t="n">
        <v>39934</v>
      </c>
      <c r="K207" s="319" t="n">
        <f aca="false">($G$41/C207)</f>
        <v>1.00923787528868</v>
      </c>
      <c r="L207" s="320" t="n">
        <f aca="false">($H$41/D207)</f>
        <v>1.01040462427746</v>
      </c>
    </row>
    <row r="208" customFormat="false" ht="15" hidden="false" customHeight="false" outlineLevel="0" collapsed="false">
      <c r="B208" s="288" t="n">
        <v>39965</v>
      </c>
      <c r="C208" s="308" t="n">
        <v>86.8</v>
      </c>
      <c r="D208" s="289" t="n">
        <v>86.8</v>
      </c>
      <c r="J208" s="292" t="n">
        <v>39965</v>
      </c>
      <c r="K208" s="319" t="n">
        <f aca="false">($G$41/C208)</f>
        <v>1.00691244239631</v>
      </c>
      <c r="L208" s="320" t="n">
        <f aca="false">($H$41/D208)</f>
        <v>1.00691244239631</v>
      </c>
    </row>
    <row r="209" customFormat="false" ht="15" hidden="false" customHeight="false" outlineLevel="0" collapsed="false">
      <c r="B209" s="288" t="n">
        <v>39995</v>
      </c>
      <c r="C209" s="308" t="n">
        <v>86.8</v>
      </c>
      <c r="D209" s="289" t="n">
        <v>86.7</v>
      </c>
      <c r="J209" s="292" t="n">
        <v>39995</v>
      </c>
      <c r="K209" s="319" t="n">
        <f aca="false">($G$41/C209)</f>
        <v>1.00691244239631</v>
      </c>
      <c r="L209" s="320" t="n">
        <f aca="false">($H$41/D209)</f>
        <v>1.0080738177624</v>
      </c>
    </row>
    <row r="210" customFormat="false" ht="15" hidden="false" customHeight="false" outlineLevel="0" collapsed="false">
      <c r="B210" s="288" t="n">
        <v>40026</v>
      </c>
      <c r="C210" s="308" t="n">
        <v>87.2</v>
      </c>
      <c r="D210" s="289" t="n">
        <v>87.1</v>
      </c>
      <c r="J210" s="292" t="n">
        <v>40026</v>
      </c>
      <c r="K210" s="319" t="n">
        <f aca="false">($G$41/C210)</f>
        <v>1.00229357798165</v>
      </c>
      <c r="L210" s="320" t="n">
        <f aca="false">($H$41/D210)</f>
        <v>1.00344431687715</v>
      </c>
    </row>
    <row r="211" customFormat="false" ht="15" hidden="false" customHeight="false" outlineLevel="0" collapsed="false">
      <c r="B211" s="288" t="n">
        <v>40057</v>
      </c>
      <c r="C211" s="308" t="n">
        <v>87.2</v>
      </c>
      <c r="D211" s="289" t="n">
        <v>87.2</v>
      </c>
      <c r="J211" s="292" t="n">
        <v>40057</v>
      </c>
      <c r="K211" s="319" t="n">
        <f aca="false">($G$41/C211)</f>
        <v>1.00229357798165</v>
      </c>
      <c r="L211" s="320" t="n">
        <f aca="false">($H$41/D211)</f>
        <v>1.00229357798165</v>
      </c>
    </row>
    <row r="212" customFormat="false" ht="15" hidden="false" customHeight="false" outlineLevel="0" collapsed="false">
      <c r="B212" s="288" t="n">
        <v>40087</v>
      </c>
      <c r="C212" s="308" t="n">
        <v>87.3</v>
      </c>
      <c r="D212" s="289" t="n">
        <v>87.3</v>
      </c>
      <c r="J212" s="292" t="n">
        <v>40087</v>
      </c>
      <c r="K212" s="319" t="n">
        <f aca="false">($G$41/C212)</f>
        <v>1.00114547537228</v>
      </c>
      <c r="L212" s="320" t="n">
        <f aca="false">($H$41/D212)</f>
        <v>1.00114547537228</v>
      </c>
    </row>
    <row r="213" customFormat="false" ht="15" hidden="false" customHeight="false" outlineLevel="0" collapsed="false">
      <c r="B213" s="288" t="n">
        <v>40118</v>
      </c>
      <c r="C213" s="308" t="n">
        <v>87.6</v>
      </c>
      <c r="D213" s="289" t="n">
        <v>87.6</v>
      </c>
      <c r="J213" s="292" t="n">
        <v>40118</v>
      </c>
      <c r="K213" s="319" t="n">
        <f aca="false">($G$41/C213)</f>
        <v>0.997716894977169</v>
      </c>
      <c r="L213" s="320" t="n">
        <f aca="false">($H$41/D213)</f>
        <v>0.997716894977169</v>
      </c>
    </row>
    <row r="214" customFormat="false" ht="15" hidden="false" customHeight="false" outlineLevel="0" collapsed="false">
      <c r="B214" s="288" t="n">
        <v>40148</v>
      </c>
      <c r="C214" s="308" t="n">
        <v>88.1</v>
      </c>
      <c r="D214" s="289" t="n">
        <v>88.1</v>
      </c>
      <c r="J214" s="292" t="n">
        <v>40148</v>
      </c>
      <c r="K214" s="319" t="n">
        <f aca="false">($G$41/C214)</f>
        <v>0.99205448354143</v>
      </c>
      <c r="L214" s="320" t="n">
        <f aca="false">($H$41/D214)</f>
        <v>0.99205448354143</v>
      </c>
    </row>
    <row r="215" customFormat="false" ht="15" hidden="false" customHeight="false" outlineLevel="0" collapsed="false">
      <c r="B215" s="288" t="n">
        <v>40179</v>
      </c>
      <c r="C215" s="308" t="n">
        <v>88</v>
      </c>
      <c r="D215" s="289" t="n">
        <v>88</v>
      </c>
      <c r="J215" s="292" t="n">
        <v>40179</v>
      </c>
      <c r="K215" s="319" t="n">
        <f aca="false">($G$41/C215)</f>
        <v>0.993181818181818</v>
      </c>
      <c r="L215" s="320" t="n">
        <f aca="false">($H$41/D215)</f>
        <v>0.993181818181818</v>
      </c>
    </row>
    <row r="216" customFormat="false" ht="15" hidden="false" customHeight="false" outlineLevel="0" collapsed="false">
      <c r="B216" s="288" t="n">
        <v>40210</v>
      </c>
      <c r="C216" s="308" t="n">
        <v>88.3</v>
      </c>
      <c r="D216" s="289" t="n">
        <v>88.3</v>
      </c>
      <c r="J216" s="292" t="n">
        <v>40210</v>
      </c>
      <c r="K216" s="319" t="n">
        <f aca="false">($G$41/C216)</f>
        <v>0.989807474518686</v>
      </c>
      <c r="L216" s="320" t="n">
        <f aca="false">($H$41/D216)</f>
        <v>0.989807474518686</v>
      </c>
    </row>
    <row r="217" customFormat="false" ht="15.4" hidden="false" customHeight="false" outlineLevel="0" collapsed="false">
      <c r="B217" s="299" t="n">
        <v>40238</v>
      </c>
      <c r="C217" s="312" t="n">
        <v>88.8</v>
      </c>
      <c r="D217" s="301" t="n">
        <v>88.9</v>
      </c>
      <c r="J217" s="302" t="n">
        <v>40238</v>
      </c>
      <c r="K217" s="332" t="n">
        <f aca="false">($G$41/C217)</f>
        <v>0.984234234234234</v>
      </c>
      <c r="L217" s="333" t="n">
        <f aca="false">($H$41/D217)</f>
        <v>0.983127109111361</v>
      </c>
    </row>
    <row r="218" customFormat="false" ht="15" hidden="false" customHeight="false" outlineLevel="0" collapsed="false">
      <c r="B218" s="305" t="n">
        <v>40269</v>
      </c>
      <c r="C218" s="306" t="n">
        <v>89.3</v>
      </c>
      <c r="D218" s="281" t="n">
        <v>89.4</v>
      </c>
      <c r="J218" s="307" t="n">
        <v>40269</v>
      </c>
      <c r="K218" s="326" t="n">
        <f aca="false">($G$42/C218)</f>
        <v>1.01343784994401</v>
      </c>
      <c r="L218" s="327" t="n">
        <f aca="false">($H$42/D218)</f>
        <v>1.01342281879195</v>
      </c>
    </row>
    <row r="219" customFormat="false" ht="15" hidden="false" customHeight="false" outlineLevel="0" collapsed="false">
      <c r="B219" s="288" t="n">
        <v>40299</v>
      </c>
      <c r="C219" s="308" t="n">
        <v>89.5</v>
      </c>
      <c r="D219" s="289" t="n">
        <v>89.6</v>
      </c>
      <c r="J219" s="292" t="n">
        <v>40299</v>
      </c>
      <c r="K219" s="319" t="n">
        <f aca="false">($G$42/C219)</f>
        <v>1.01117318435754</v>
      </c>
      <c r="L219" s="320" t="n">
        <f aca="false">($H$42/D219)</f>
        <v>1.01116071428571</v>
      </c>
    </row>
    <row r="220" customFormat="false" ht="15" hidden="false" customHeight="false" outlineLevel="0" collapsed="false">
      <c r="B220" s="288" t="n">
        <v>40330</v>
      </c>
      <c r="C220" s="308" t="n">
        <v>89.6</v>
      </c>
      <c r="D220" s="289" t="n">
        <v>89.7</v>
      </c>
      <c r="J220" s="292" t="n">
        <v>40330</v>
      </c>
      <c r="K220" s="319" t="n">
        <f aca="false">($G$42/C220)</f>
        <v>1.01004464285714</v>
      </c>
      <c r="L220" s="320" t="n">
        <f aca="false">($H$42/D220)</f>
        <v>1.01003344481605</v>
      </c>
    </row>
    <row r="221" customFormat="false" ht="15" hidden="false" customHeight="false" outlineLevel="0" collapsed="false">
      <c r="B221" s="288" t="n">
        <v>40360</v>
      </c>
      <c r="C221" s="308" t="n">
        <v>89.5</v>
      </c>
      <c r="D221" s="289" t="n">
        <v>89.5</v>
      </c>
      <c r="J221" s="292" t="n">
        <v>40360</v>
      </c>
      <c r="K221" s="319" t="n">
        <f aca="false">($G$42/C221)</f>
        <v>1.01117318435754</v>
      </c>
      <c r="L221" s="320" t="n">
        <f aca="false">($H$42/D221)</f>
        <v>1.0122905027933</v>
      </c>
    </row>
    <row r="222" customFormat="false" ht="15" hidden="false" customHeight="false" outlineLevel="0" collapsed="false">
      <c r="B222" s="288" t="n">
        <v>40391</v>
      </c>
      <c r="C222" s="308" t="n">
        <v>89.9</v>
      </c>
      <c r="D222" s="289" t="n">
        <v>90</v>
      </c>
      <c r="J222" s="292" t="n">
        <v>40391</v>
      </c>
      <c r="K222" s="319" t="n">
        <f aca="false">($G$42/C222)</f>
        <v>1.00667408231368</v>
      </c>
      <c r="L222" s="320" t="n">
        <f aca="false">($H$42/D222)</f>
        <v>1.00666666666667</v>
      </c>
    </row>
    <row r="223" customFormat="false" ht="15" hidden="false" customHeight="false" outlineLevel="0" collapsed="false">
      <c r="B223" s="288" t="n">
        <v>40422</v>
      </c>
      <c r="C223" s="308" t="n">
        <v>90</v>
      </c>
      <c r="D223" s="289" t="n">
        <v>89.9</v>
      </c>
      <c r="J223" s="292" t="n">
        <v>40422</v>
      </c>
      <c r="K223" s="319" t="n">
        <f aca="false">($G$42/C223)</f>
        <v>1.00555555555556</v>
      </c>
      <c r="L223" s="320" t="n">
        <f aca="false">($H$42/D223)</f>
        <v>1.00778642936596</v>
      </c>
    </row>
    <row r="224" customFormat="false" ht="15" hidden="false" customHeight="false" outlineLevel="0" collapsed="false">
      <c r="B224" s="288" t="n">
        <v>40452</v>
      </c>
      <c r="C224" s="308" t="n">
        <v>90.2</v>
      </c>
      <c r="D224" s="289" t="n">
        <v>90.2</v>
      </c>
      <c r="J224" s="292" t="n">
        <v>40452</v>
      </c>
      <c r="K224" s="319" t="n">
        <f aca="false">($G$42/C224)</f>
        <v>1.00332594235033</v>
      </c>
      <c r="L224" s="320" t="n">
        <f aca="false">($H$42/D224)</f>
        <v>1.00443458980044</v>
      </c>
    </row>
    <row r="225" customFormat="false" ht="15" hidden="false" customHeight="false" outlineLevel="0" collapsed="false">
      <c r="B225" s="288" t="n">
        <v>40483</v>
      </c>
      <c r="C225" s="308" t="n">
        <v>90.5</v>
      </c>
      <c r="D225" s="289" t="n">
        <v>90.5</v>
      </c>
      <c r="J225" s="292" t="n">
        <v>40483</v>
      </c>
      <c r="K225" s="319" t="n">
        <f aca="false">($G$42/C225)</f>
        <v>1</v>
      </c>
      <c r="L225" s="320" t="n">
        <f aca="false">($H$42/D225)</f>
        <v>1.00110497237569</v>
      </c>
    </row>
    <row r="226" customFormat="false" ht="15" hidden="false" customHeight="false" outlineLevel="0" collapsed="false">
      <c r="B226" s="288" t="n">
        <v>40513</v>
      </c>
      <c r="C226" s="308" t="n">
        <v>91.4</v>
      </c>
      <c r="D226" s="289" t="n">
        <v>91.5</v>
      </c>
      <c r="J226" s="292" t="n">
        <v>40513</v>
      </c>
      <c r="K226" s="319" t="n">
        <f aca="false">($G$42/C226)</f>
        <v>0.990153172866521</v>
      </c>
      <c r="L226" s="320" t="n">
        <f aca="false">($H$42/D226)</f>
        <v>0.990163934426229</v>
      </c>
    </row>
    <row r="227" customFormat="false" ht="15" hidden="false" customHeight="false" outlineLevel="0" collapsed="false">
      <c r="B227" s="288" t="n">
        <v>40544</v>
      </c>
      <c r="C227" s="308" t="n">
        <v>91.5</v>
      </c>
      <c r="D227" s="289" t="n">
        <v>91.6</v>
      </c>
      <c r="J227" s="292" t="n">
        <v>40544</v>
      </c>
      <c r="K227" s="319" t="n">
        <f aca="false">($G$42/C227)</f>
        <v>0.989071038251366</v>
      </c>
      <c r="L227" s="320" t="n">
        <f aca="false">($H$42/D227)</f>
        <v>0.989082969432314</v>
      </c>
    </row>
    <row r="228" customFormat="false" ht="15" hidden="false" customHeight="false" outlineLevel="0" collapsed="false">
      <c r="B228" s="288" t="n">
        <v>40575</v>
      </c>
      <c r="C228" s="308" t="n">
        <v>92.1</v>
      </c>
      <c r="D228" s="289" t="n">
        <v>92.3</v>
      </c>
      <c r="J228" s="292" t="n">
        <v>40575</v>
      </c>
      <c r="K228" s="319" t="n">
        <f aca="false">($G$42/C228)</f>
        <v>0.982627578718784</v>
      </c>
      <c r="L228" s="320" t="n">
        <f aca="false">($H$42/D228)</f>
        <v>0.981581798483207</v>
      </c>
    </row>
    <row r="229" customFormat="false" ht="15.4" hidden="false" customHeight="false" outlineLevel="0" collapsed="false">
      <c r="B229" s="299" t="n">
        <v>40603</v>
      </c>
      <c r="C229" s="312" t="n">
        <v>92.4</v>
      </c>
      <c r="D229" s="301" t="n">
        <v>92.6</v>
      </c>
      <c r="J229" s="302" t="n">
        <v>40603</v>
      </c>
      <c r="K229" s="332" t="n">
        <f aca="false">($G$42/C229)</f>
        <v>0.979437229437229</v>
      </c>
      <c r="L229" s="333" t="n">
        <f aca="false">($H$42/D229)</f>
        <v>0.978401727861771</v>
      </c>
    </row>
    <row r="230" customFormat="false" ht="15" hidden="false" customHeight="false" outlineLevel="0" collapsed="false">
      <c r="B230" s="305" t="n">
        <v>40634</v>
      </c>
      <c r="C230" s="306" t="n">
        <v>93.3</v>
      </c>
      <c r="D230" s="281" t="n">
        <v>93.5</v>
      </c>
      <c r="J230" s="307" t="n">
        <v>40634</v>
      </c>
      <c r="K230" s="326" t="n">
        <f aca="false">($G$43/C230)</f>
        <v>1.010718113612</v>
      </c>
      <c r="L230" s="327" t="n">
        <f aca="false">($H$43/D230)</f>
        <v>1.01069518716578</v>
      </c>
    </row>
    <row r="231" customFormat="false" ht="15" hidden="false" customHeight="false" outlineLevel="0" collapsed="false">
      <c r="B231" s="288" t="n">
        <v>40664</v>
      </c>
      <c r="C231" s="308" t="n">
        <v>93.5</v>
      </c>
      <c r="D231" s="289" t="n">
        <v>93.7</v>
      </c>
      <c r="J231" s="292" t="n">
        <v>40664</v>
      </c>
      <c r="K231" s="319" t="n">
        <f aca="false">($G$43/C231)</f>
        <v>1.00855614973262</v>
      </c>
      <c r="L231" s="320" t="n">
        <f aca="false">($H$43/D231)</f>
        <v>1.008537886873</v>
      </c>
    </row>
    <row r="232" customFormat="false" ht="15" hidden="false" customHeight="false" outlineLevel="0" collapsed="false">
      <c r="B232" s="288" t="n">
        <v>40695</v>
      </c>
      <c r="C232" s="308" t="n">
        <v>93.4</v>
      </c>
      <c r="D232" s="289" t="n">
        <v>93.6</v>
      </c>
      <c r="J232" s="292" t="n">
        <v>40695</v>
      </c>
      <c r="K232" s="319" t="n">
        <f aca="false">($G$43/C232)</f>
        <v>1.00963597430407</v>
      </c>
      <c r="L232" s="320" t="n">
        <f aca="false">($H$43/D232)</f>
        <v>1.00961538461538</v>
      </c>
    </row>
    <row r="233" customFormat="false" ht="15" hidden="false" customHeight="false" outlineLevel="0" collapsed="false">
      <c r="B233" s="288" t="n">
        <v>40725</v>
      </c>
      <c r="C233" s="308" t="n">
        <v>93.4</v>
      </c>
      <c r="D233" s="289" t="n">
        <v>93.5</v>
      </c>
      <c r="J233" s="292" t="n">
        <v>40725</v>
      </c>
      <c r="K233" s="319" t="n">
        <f aca="false">($G$43/C233)</f>
        <v>1.00963597430407</v>
      </c>
      <c r="L233" s="320" t="n">
        <f aca="false">($H$43/D233)</f>
        <v>1.01069518716578</v>
      </c>
    </row>
    <row r="234" customFormat="false" ht="15" hidden="false" customHeight="false" outlineLevel="0" collapsed="false">
      <c r="B234" s="288" t="n">
        <v>40756</v>
      </c>
      <c r="C234" s="308" t="n">
        <v>93.9</v>
      </c>
      <c r="D234" s="289" t="n">
        <v>94.1</v>
      </c>
      <c r="J234" s="292" t="n">
        <v>40756</v>
      </c>
      <c r="K234" s="319" t="n">
        <f aca="false">($G$43/C234)</f>
        <v>1.00425985090522</v>
      </c>
      <c r="L234" s="320" t="n">
        <f aca="false">($H$43/D234)</f>
        <v>1.00425079702444</v>
      </c>
    </row>
    <row r="235" customFormat="false" ht="15" hidden="false" customHeight="false" outlineLevel="0" collapsed="false">
      <c r="B235" s="288" t="n">
        <v>40787</v>
      </c>
      <c r="C235" s="308" t="n">
        <v>94.5</v>
      </c>
      <c r="D235" s="289" t="n">
        <v>94.7</v>
      </c>
      <c r="J235" s="292" t="n">
        <v>40787</v>
      </c>
      <c r="K235" s="319" t="n">
        <f aca="false">($G$43/C235)</f>
        <v>0.997883597883598</v>
      </c>
      <c r="L235" s="320" t="n">
        <f aca="false">($H$43/D235)</f>
        <v>0.997888067581837</v>
      </c>
    </row>
    <row r="236" customFormat="false" ht="15" hidden="false" customHeight="false" outlineLevel="0" collapsed="false">
      <c r="B236" s="288" t="n">
        <v>40817</v>
      </c>
      <c r="C236" s="308" t="n">
        <v>94.6</v>
      </c>
      <c r="D236" s="289" t="n">
        <v>94.8</v>
      </c>
      <c r="J236" s="292" t="n">
        <v>40817</v>
      </c>
      <c r="K236" s="319" t="n">
        <f aca="false">($G$43/C236)</f>
        <v>0.996828752642706</v>
      </c>
      <c r="L236" s="320" t="n">
        <f aca="false">($H$43/D236)</f>
        <v>0.996835443037975</v>
      </c>
    </row>
    <row r="237" customFormat="false" ht="15" hidden="false" customHeight="false" outlineLevel="0" collapsed="false">
      <c r="B237" s="288" t="n">
        <v>40848</v>
      </c>
      <c r="C237" s="308" t="n">
        <v>94.7</v>
      </c>
      <c r="D237" s="289" t="n">
        <v>95</v>
      </c>
      <c r="J237" s="292" t="n">
        <v>40848</v>
      </c>
      <c r="K237" s="319" t="n">
        <f aca="false">($G$43/C237)</f>
        <v>0.995776135163675</v>
      </c>
      <c r="L237" s="320" t="n">
        <f aca="false">($H$43/D237)</f>
        <v>0.994736842105263</v>
      </c>
    </row>
    <row r="238" customFormat="false" ht="15" hidden="false" customHeight="false" outlineLevel="0" collapsed="false">
      <c r="B238" s="288" t="n">
        <v>40878</v>
      </c>
      <c r="C238" s="308" t="n">
        <v>95.1</v>
      </c>
      <c r="D238" s="289" t="n">
        <v>95.4</v>
      </c>
      <c r="J238" s="292" t="n">
        <v>40878</v>
      </c>
      <c r="K238" s="319" t="n">
        <f aca="false">($G$43/C238)</f>
        <v>0.991587802313354</v>
      </c>
      <c r="L238" s="320" t="n">
        <f aca="false">($H$43/D238)</f>
        <v>0.990566037735849</v>
      </c>
    </row>
    <row r="239" customFormat="false" ht="15" hidden="false" customHeight="false" outlineLevel="0" collapsed="false">
      <c r="B239" s="288" t="n">
        <v>40909</v>
      </c>
      <c r="C239" s="308" t="n">
        <v>94.7</v>
      </c>
      <c r="D239" s="289" t="n">
        <v>94.8</v>
      </c>
      <c r="J239" s="292" t="n">
        <v>40909</v>
      </c>
      <c r="K239" s="319" t="n">
        <f aca="false">($G$43/C239)</f>
        <v>0.995776135163675</v>
      </c>
      <c r="L239" s="320" t="n">
        <f aca="false">($H$43/D239)</f>
        <v>0.996835443037975</v>
      </c>
    </row>
    <row r="240" customFormat="false" ht="15" hidden="false" customHeight="false" outlineLevel="0" collapsed="false">
      <c r="B240" s="288" t="n">
        <v>40940</v>
      </c>
      <c r="C240" s="308" t="n">
        <v>95.2</v>
      </c>
      <c r="D240" s="289" t="n">
        <v>95.5</v>
      </c>
      <c r="J240" s="292" t="n">
        <v>40940</v>
      </c>
      <c r="K240" s="319" t="n">
        <f aca="false">($G$43/C240)</f>
        <v>0.990546218487395</v>
      </c>
      <c r="L240" s="320" t="n">
        <f aca="false">($H$43/D240)</f>
        <v>0.989528795811518</v>
      </c>
    </row>
    <row r="241" customFormat="false" ht="15.4" hidden="false" customHeight="false" outlineLevel="0" collapsed="false">
      <c r="B241" s="299" t="n">
        <v>40969</v>
      </c>
      <c r="C241" s="312" t="n">
        <v>95.5</v>
      </c>
      <c r="D241" s="301" t="n">
        <v>95.8</v>
      </c>
      <c r="J241" s="302" t="n">
        <v>40969</v>
      </c>
      <c r="K241" s="332" t="n">
        <f aca="false">($G$43/C241)</f>
        <v>0.987434554973822</v>
      </c>
      <c r="L241" s="333" t="n">
        <f aca="false">($H$43/D241)</f>
        <v>0.98643006263048</v>
      </c>
    </row>
    <row r="242" customFormat="false" ht="15" hidden="false" customHeight="false" outlineLevel="0" collapsed="false">
      <c r="B242" s="305" t="n">
        <v>41000</v>
      </c>
      <c r="C242" s="306" t="n">
        <v>96.1</v>
      </c>
      <c r="D242" s="281" t="n">
        <v>96.2</v>
      </c>
      <c r="J242" s="307" t="n">
        <v>41000</v>
      </c>
      <c r="K242" s="326" t="n">
        <f aca="false">($G$44/C242)</f>
        <v>1.00728407908429</v>
      </c>
      <c r="L242" s="327" t="n">
        <f aca="false">($H$44/D242)</f>
        <v>1.00831600831601</v>
      </c>
    </row>
    <row r="243" customFormat="false" ht="15" hidden="false" customHeight="false" outlineLevel="0" collapsed="false">
      <c r="B243" s="288" t="n">
        <v>41030</v>
      </c>
      <c r="C243" s="308" t="n">
        <v>96</v>
      </c>
      <c r="D243" s="289" t="n">
        <v>96.2</v>
      </c>
      <c r="J243" s="292" t="n">
        <v>41030</v>
      </c>
      <c r="K243" s="319" t="n">
        <f aca="false">($G$44/C243)</f>
        <v>1.00833333333333</v>
      </c>
      <c r="L243" s="320" t="n">
        <f aca="false">($H$44/D243)</f>
        <v>1.00831600831601</v>
      </c>
    </row>
    <row r="244" customFormat="false" ht="15" hidden="false" customHeight="false" outlineLevel="0" collapsed="false">
      <c r="B244" s="288" t="n">
        <v>41061</v>
      </c>
      <c r="C244" s="308" t="n">
        <v>95.6</v>
      </c>
      <c r="D244" s="289" t="n">
        <v>95.7</v>
      </c>
      <c r="J244" s="292" t="n">
        <v>41061</v>
      </c>
      <c r="K244" s="319" t="n">
        <f aca="false">($G$44/C244)</f>
        <v>1.01255230125523</v>
      </c>
      <c r="L244" s="320" t="n">
        <f aca="false">($H$44/D244)</f>
        <v>1.01358411703239</v>
      </c>
    </row>
    <row r="245" customFormat="false" ht="15" hidden="false" customHeight="false" outlineLevel="0" collapsed="false">
      <c r="B245" s="288" t="n">
        <v>41091</v>
      </c>
      <c r="C245" s="308" t="n">
        <v>95.7</v>
      </c>
      <c r="D245" s="289" t="n">
        <v>95.8</v>
      </c>
      <c r="J245" s="292" t="n">
        <v>41091</v>
      </c>
      <c r="K245" s="319" t="n">
        <f aca="false">($G$44/C245)</f>
        <v>1.01149425287356</v>
      </c>
      <c r="L245" s="320" t="n">
        <f aca="false">($H$44/D245)</f>
        <v>1.0125260960334</v>
      </c>
    </row>
    <row r="246" customFormat="false" ht="15" hidden="false" customHeight="false" outlineLevel="0" collapsed="false">
      <c r="B246" s="288" t="n">
        <v>41122</v>
      </c>
      <c r="C246" s="308" t="n">
        <v>96.2</v>
      </c>
      <c r="D246" s="289" t="n">
        <v>96.3</v>
      </c>
      <c r="J246" s="292" t="n">
        <v>41122</v>
      </c>
      <c r="K246" s="319" t="n">
        <f aca="false">($G$44/C246)</f>
        <v>1.00623700623701</v>
      </c>
      <c r="L246" s="320" t="n">
        <f aca="false">($H$44/D246)</f>
        <v>1.00726895119418</v>
      </c>
    </row>
    <row r="247" customFormat="false" ht="15" hidden="false" customHeight="false" outlineLevel="0" collapsed="false">
      <c r="B247" s="288" t="n">
        <v>41153</v>
      </c>
      <c r="C247" s="308" t="n">
        <v>96.6</v>
      </c>
      <c r="D247" s="289" t="n">
        <v>96.7</v>
      </c>
      <c r="J247" s="292" t="n">
        <v>41153</v>
      </c>
      <c r="K247" s="319" t="n">
        <f aca="false">($G$44/C247)</f>
        <v>1.00207039337474</v>
      </c>
      <c r="L247" s="320" t="n">
        <f aca="false">($H$44/D247)</f>
        <v>1.00310237849018</v>
      </c>
    </row>
    <row r="248" customFormat="false" ht="15" hidden="false" customHeight="false" outlineLevel="0" collapsed="false">
      <c r="B248" s="288" t="n">
        <v>41183</v>
      </c>
      <c r="C248" s="308" t="n">
        <v>97.1</v>
      </c>
      <c r="D248" s="289" t="n">
        <v>97.2</v>
      </c>
      <c r="J248" s="292" t="n">
        <v>41183</v>
      </c>
      <c r="K248" s="319" t="n">
        <f aca="false">($G$44/C248)</f>
        <v>0.996910401647786</v>
      </c>
      <c r="L248" s="320" t="n">
        <f aca="false">($H$44/D248)</f>
        <v>0.997942386831276</v>
      </c>
    </row>
    <row r="249" customFormat="false" ht="15" hidden="false" customHeight="false" outlineLevel="0" collapsed="false">
      <c r="B249" s="288" t="n">
        <v>41214</v>
      </c>
      <c r="C249" s="308" t="n">
        <v>97.2</v>
      </c>
      <c r="D249" s="289" t="n">
        <v>97.4</v>
      </c>
      <c r="J249" s="292" t="n">
        <v>41214</v>
      </c>
      <c r="K249" s="319" t="n">
        <f aca="false">($G$44/C249)</f>
        <v>0.995884773662551</v>
      </c>
      <c r="L249" s="320" t="n">
        <f aca="false">($H$44/D249)</f>
        <v>0.995893223819302</v>
      </c>
    </row>
    <row r="250" customFormat="false" ht="15" hidden="false" customHeight="false" outlineLevel="0" collapsed="false">
      <c r="B250" s="288" t="n">
        <v>41244</v>
      </c>
      <c r="C250" s="308" t="n">
        <v>97.7</v>
      </c>
      <c r="D250" s="289" t="n">
        <v>97.9</v>
      </c>
      <c r="J250" s="292" t="n">
        <v>41244</v>
      </c>
      <c r="K250" s="319" t="n">
        <f aca="false">($G$44/C250)</f>
        <v>0.99078812691914</v>
      </c>
      <c r="L250" s="320" t="n">
        <f aca="false">($H$44/D250)</f>
        <v>0.990806945863126</v>
      </c>
    </row>
    <row r="251" customFormat="false" ht="15" hidden="false" customHeight="false" outlineLevel="0" collapsed="false">
      <c r="B251" s="288" t="n">
        <v>41275</v>
      </c>
      <c r="C251" s="308" t="n">
        <v>97.2</v>
      </c>
      <c r="D251" s="289" t="n">
        <v>97.4</v>
      </c>
      <c r="J251" s="292" t="n">
        <v>41275</v>
      </c>
      <c r="K251" s="319" t="n">
        <f aca="false">($G$44/C251)</f>
        <v>0.995884773662551</v>
      </c>
      <c r="L251" s="320" t="n">
        <f aca="false">($H$44/D251)</f>
        <v>0.995893223819302</v>
      </c>
    </row>
    <row r="252" customFormat="false" ht="15" hidden="false" customHeight="false" outlineLevel="0" collapsed="false">
      <c r="B252" s="288" t="n">
        <v>41306</v>
      </c>
      <c r="C252" s="308" t="n">
        <v>97.9</v>
      </c>
      <c r="D252" s="289" t="n">
        <v>98.1</v>
      </c>
      <c r="J252" s="292" t="n">
        <v>41306</v>
      </c>
      <c r="K252" s="319" t="n">
        <f aca="false">($G$44/C252)</f>
        <v>0.98876404494382</v>
      </c>
      <c r="L252" s="320" t="n">
        <f aca="false">($H$44/D252)</f>
        <v>0.988786952089705</v>
      </c>
    </row>
    <row r="253" customFormat="false" ht="15.4" hidden="false" customHeight="false" outlineLevel="0" collapsed="false">
      <c r="B253" s="299" t="n">
        <v>41334</v>
      </c>
      <c r="C253" s="312" t="n">
        <v>98.2</v>
      </c>
      <c r="D253" s="301" t="n">
        <v>98.5</v>
      </c>
      <c r="J253" s="302" t="n">
        <v>41334</v>
      </c>
      <c r="K253" s="332" t="n">
        <f aca="false">($G$44/C253)</f>
        <v>0.985743380855397</v>
      </c>
      <c r="L253" s="333" t="n">
        <f aca="false">($H$44/D253)</f>
        <v>0.984771573604061</v>
      </c>
    </row>
    <row r="254" customFormat="false" ht="15" hidden="false" customHeight="false" outlineLevel="0" collapsed="false">
      <c r="B254" s="305" t="n">
        <v>41365</v>
      </c>
      <c r="C254" s="306" t="n">
        <v>98.4</v>
      </c>
      <c r="D254" s="281" t="n">
        <v>98.6</v>
      </c>
      <c r="J254" s="307" t="n">
        <v>41365</v>
      </c>
      <c r="K254" s="326" t="n">
        <f aca="false">($G$45/C254)</f>
        <v>1.00609756097561</v>
      </c>
      <c r="L254" s="327" t="n">
        <f aca="false">($H$45/D254)</f>
        <v>1.00608519269777</v>
      </c>
    </row>
    <row r="255" customFormat="false" ht="15" hidden="false" customHeight="false" outlineLevel="0" collapsed="false">
      <c r="B255" s="288" t="n">
        <v>41395</v>
      </c>
      <c r="C255" s="308" t="n">
        <v>98.6</v>
      </c>
      <c r="D255" s="289" t="n">
        <v>98.8</v>
      </c>
      <c r="J255" s="292" t="n">
        <v>41395</v>
      </c>
      <c r="K255" s="319" t="n">
        <f aca="false">($G$45/C255)</f>
        <v>1.00405679513185</v>
      </c>
      <c r="L255" s="320" t="n">
        <f aca="false">($H$45/D255)</f>
        <v>1.00404858299595</v>
      </c>
    </row>
    <row r="256" customFormat="false" ht="15" hidden="false" customHeight="false" outlineLevel="0" collapsed="false">
      <c r="B256" s="288" t="n">
        <v>41426</v>
      </c>
      <c r="C256" s="308" t="n">
        <v>98.4</v>
      </c>
      <c r="D256" s="289" t="n">
        <v>98.6</v>
      </c>
      <c r="J256" s="292" t="n">
        <v>41426</v>
      </c>
      <c r="K256" s="319" t="n">
        <f aca="false">($G$45/C256)</f>
        <v>1.00609756097561</v>
      </c>
      <c r="L256" s="320" t="n">
        <f aca="false">($H$45/D256)</f>
        <v>1.00608519269777</v>
      </c>
    </row>
    <row r="257" customFormat="false" ht="15" hidden="false" customHeight="false" outlineLevel="0" collapsed="false">
      <c r="B257" s="288" t="n">
        <v>41456</v>
      </c>
      <c r="C257" s="308" t="n">
        <v>98.3</v>
      </c>
      <c r="D257" s="289" t="n">
        <v>98.5</v>
      </c>
      <c r="J257" s="292" t="n">
        <v>41456</v>
      </c>
      <c r="K257" s="319" t="n">
        <f aca="false">($G$45/C257)</f>
        <v>1.00712105798576</v>
      </c>
      <c r="L257" s="320" t="n">
        <f aca="false">($H$45/D257)</f>
        <v>1.00710659898477</v>
      </c>
    </row>
    <row r="258" customFormat="false" ht="15" hidden="false" customHeight="false" outlineLevel="0" collapsed="false">
      <c r="B258" s="288" t="n">
        <v>41487</v>
      </c>
      <c r="C258" s="308" t="n">
        <v>98.8</v>
      </c>
      <c r="D258" s="289" t="n">
        <v>99</v>
      </c>
      <c r="J258" s="292" t="n">
        <v>41487</v>
      </c>
      <c r="K258" s="319" t="n">
        <f aca="false">($G$45/C258)</f>
        <v>1.00202429149798</v>
      </c>
      <c r="L258" s="320" t="n">
        <f aca="false">($H$45/D258)</f>
        <v>1.0020202020202</v>
      </c>
    </row>
    <row r="259" customFormat="false" ht="15" hidden="false" customHeight="false" outlineLevel="0" collapsed="false">
      <c r="B259" s="288" t="n">
        <v>41518</v>
      </c>
      <c r="C259" s="308" t="n">
        <v>99.1</v>
      </c>
      <c r="D259" s="289" t="n">
        <v>99.3</v>
      </c>
      <c r="J259" s="292" t="n">
        <v>41518</v>
      </c>
      <c r="K259" s="319" t="n">
        <f aca="false">($G$45/C259)</f>
        <v>0.998990918264379</v>
      </c>
      <c r="L259" s="320" t="n">
        <f aca="false">($H$45/D259)</f>
        <v>0.998992950654582</v>
      </c>
    </row>
    <row r="260" customFormat="false" ht="15" hidden="false" customHeight="false" outlineLevel="0" collapsed="false">
      <c r="B260" s="288" t="n">
        <v>41548</v>
      </c>
      <c r="C260" s="308" t="n">
        <v>99.1</v>
      </c>
      <c r="D260" s="289" t="n">
        <v>99.4</v>
      </c>
      <c r="J260" s="292" t="n">
        <v>41548</v>
      </c>
      <c r="K260" s="319" t="n">
        <f aca="false">($G$45/C260)</f>
        <v>0.998990918264379</v>
      </c>
      <c r="L260" s="320" t="n">
        <f aca="false">($H$45/D260)</f>
        <v>0.997987927565392</v>
      </c>
    </row>
    <row r="261" customFormat="false" ht="15" hidden="false" customHeight="false" outlineLevel="0" collapsed="false">
      <c r="B261" s="288" t="n">
        <v>41579</v>
      </c>
      <c r="C261" s="308" t="n">
        <v>99.2</v>
      </c>
      <c r="D261" s="289" t="n">
        <v>99.5</v>
      </c>
      <c r="J261" s="292" t="n">
        <v>41579</v>
      </c>
      <c r="K261" s="319" t="n">
        <f aca="false">($G$45/C261)</f>
        <v>0.997983870967742</v>
      </c>
      <c r="L261" s="320" t="n">
        <f aca="false">($H$45/D261)</f>
        <v>0.996984924623116</v>
      </c>
    </row>
    <row r="262" customFormat="false" ht="15" hidden="false" customHeight="false" outlineLevel="0" collapsed="false">
      <c r="B262" s="288" t="n">
        <v>41609</v>
      </c>
      <c r="C262" s="308" t="n">
        <v>99.6</v>
      </c>
      <c r="D262" s="289" t="n">
        <v>99.9</v>
      </c>
      <c r="J262" s="292" t="n">
        <v>41609</v>
      </c>
      <c r="K262" s="319" t="n">
        <f aca="false">($G$45/C262)</f>
        <v>0.993975903614458</v>
      </c>
      <c r="L262" s="320" t="n">
        <f aca="false">($H$45/D262)</f>
        <v>0.992992992992993</v>
      </c>
    </row>
    <row r="263" customFormat="false" ht="15" hidden="false" customHeight="false" outlineLevel="0" collapsed="false">
      <c r="B263" s="288" t="n">
        <v>41640</v>
      </c>
      <c r="C263" s="308" t="n">
        <v>99</v>
      </c>
      <c r="D263" s="289" t="n">
        <v>99.2</v>
      </c>
      <c r="J263" s="292" t="n">
        <v>41640</v>
      </c>
      <c r="K263" s="319" t="n">
        <f aca="false">($G$45/C263)</f>
        <v>1</v>
      </c>
      <c r="L263" s="320" t="n">
        <f aca="false">($H$45/D263)</f>
        <v>1</v>
      </c>
    </row>
    <row r="264" customFormat="false" ht="15" hidden="false" customHeight="false" outlineLevel="0" collapsed="false">
      <c r="B264" s="288" t="n">
        <v>41671</v>
      </c>
      <c r="C264" s="308" t="n">
        <v>99.5</v>
      </c>
      <c r="D264" s="289" t="n">
        <v>99.8</v>
      </c>
      <c r="J264" s="292" t="n">
        <v>41671</v>
      </c>
      <c r="K264" s="319" t="n">
        <f aca="false">($G$45/C264)</f>
        <v>0.994974874371859</v>
      </c>
      <c r="L264" s="320" t="n">
        <f aca="false">($H$45/D264)</f>
        <v>0.993987975951904</v>
      </c>
    </row>
    <row r="265" customFormat="false" ht="15.4" hidden="false" customHeight="false" outlineLevel="0" collapsed="false">
      <c r="B265" s="299" t="n">
        <v>41699</v>
      </c>
      <c r="C265" s="312" t="n">
        <v>99.7</v>
      </c>
      <c r="D265" s="301" t="n">
        <v>100</v>
      </c>
      <c r="J265" s="302" t="n">
        <v>41699</v>
      </c>
      <c r="K265" s="332" t="n">
        <f aca="false">($G$45/C265)</f>
        <v>0.992978936810431</v>
      </c>
      <c r="L265" s="333" t="n">
        <f aca="false">($H$45/D265)</f>
        <v>0.992</v>
      </c>
    </row>
    <row r="266" customFormat="false" ht="15" hidden="false" customHeight="false" outlineLevel="0" collapsed="false">
      <c r="B266" s="305" t="n">
        <v>41730</v>
      </c>
      <c r="C266" s="306" t="n">
        <v>100</v>
      </c>
      <c r="D266" s="281" t="n">
        <v>100.3</v>
      </c>
      <c r="J266" s="307" t="n">
        <v>41730</v>
      </c>
      <c r="K266" s="326" t="n">
        <f aca="false">($G$46/C266)</f>
        <v>1</v>
      </c>
      <c r="L266" s="327" t="n">
        <f aca="false">($H$46/D266)</f>
        <v>0.998005982053838</v>
      </c>
    </row>
    <row r="267" customFormat="false" ht="15" hidden="false" customHeight="false" outlineLevel="0" collapsed="false">
      <c r="B267" s="288" t="n">
        <v>41760</v>
      </c>
      <c r="C267" s="308" t="n">
        <v>100</v>
      </c>
      <c r="D267" s="289" t="n">
        <v>100.2</v>
      </c>
      <c r="J267" s="292" t="n">
        <v>41760</v>
      </c>
      <c r="K267" s="319" t="n">
        <f aca="false">($G$46/C267)</f>
        <v>1</v>
      </c>
      <c r="L267" s="320" t="n">
        <f aca="false">($H$46/D267)</f>
        <v>0.999001996007984</v>
      </c>
    </row>
    <row r="268" customFormat="false" ht="15" hidden="false" customHeight="false" outlineLevel="0" collapsed="false">
      <c r="B268" s="288" t="n">
        <v>41791</v>
      </c>
      <c r="C268" s="308" t="n">
        <v>100.2</v>
      </c>
      <c r="D268" s="289" t="n">
        <v>100.4</v>
      </c>
      <c r="J268" s="292" t="n">
        <v>41791</v>
      </c>
      <c r="K268" s="319" t="n">
        <f aca="false">($G$46/C268)</f>
        <v>0.998003992015968</v>
      </c>
      <c r="L268" s="320" t="n">
        <f aca="false">($H$46/D268)</f>
        <v>0.997011952191235</v>
      </c>
    </row>
    <row r="269" customFormat="false" ht="15" hidden="false" customHeight="false" outlineLevel="0" collapsed="false">
      <c r="B269" s="288" t="n">
        <v>41821</v>
      </c>
      <c r="C269" s="308" t="n">
        <v>99.9</v>
      </c>
      <c r="D269" s="289" t="n">
        <v>100</v>
      </c>
      <c r="J269" s="292" t="n">
        <v>41821</v>
      </c>
      <c r="K269" s="319" t="n">
        <f aca="false">($G$46/C269)</f>
        <v>1.001001001001</v>
      </c>
      <c r="L269" s="320" t="n">
        <f aca="false">($H$46/D269)</f>
        <v>1.001</v>
      </c>
    </row>
    <row r="270" customFormat="false" ht="15" hidden="false" customHeight="false" outlineLevel="0" collapsed="false">
      <c r="B270" s="288" t="n">
        <v>41852</v>
      </c>
      <c r="C270" s="308" t="n">
        <v>100.2</v>
      </c>
      <c r="D270" s="289" t="n">
        <v>100.4</v>
      </c>
      <c r="J270" s="292" t="n">
        <v>41852</v>
      </c>
      <c r="K270" s="319" t="n">
        <f aca="false">($G$46/C270)</f>
        <v>0.998003992015968</v>
      </c>
      <c r="L270" s="320" t="n">
        <f aca="false">($H$46/D270)</f>
        <v>0.997011952191235</v>
      </c>
    </row>
    <row r="271" customFormat="false" ht="15" hidden="false" customHeight="false" outlineLevel="0" collapsed="false">
      <c r="B271" s="288" t="n">
        <v>41883</v>
      </c>
      <c r="C271" s="308" t="n">
        <v>100.3</v>
      </c>
      <c r="D271" s="289" t="n">
        <v>100.5</v>
      </c>
      <c r="J271" s="292" t="n">
        <v>41883</v>
      </c>
      <c r="K271" s="319" t="n">
        <f aca="false">($G$46/C271)</f>
        <v>0.997008973080758</v>
      </c>
      <c r="L271" s="320" t="n">
        <f aca="false">($H$46/D271)</f>
        <v>0.996019900497512</v>
      </c>
    </row>
    <row r="272" customFormat="false" ht="15" hidden="false" customHeight="false" outlineLevel="0" collapsed="false">
      <c r="B272" s="288" t="n">
        <v>41913</v>
      </c>
      <c r="C272" s="308" t="n">
        <v>100.4</v>
      </c>
      <c r="D272" s="289" t="n">
        <v>100.6</v>
      </c>
      <c r="J272" s="292" t="n">
        <v>41913</v>
      </c>
      <c r="K272" s="319" t="n">
        <f aca="false">($G$46/C272)</f>
        <v>0.99601593625498</v>
      </c>
      <c r="L272" s="320" t="n">
        <f aca="false">($H$46/D272)</f>
        <v>0.995029821073559</v>
      </c>
    </row>
    <row r="273" customFormat="false" ht="15" hidden="false" customHeight="false" outlineLevel="0" collapsed="false">
      <c r="B273" s="288" t="n">
        <v>41944</v>
      </c>
      <c r="C273" s="308" t="n">
        <v>100.1</v>
      </c>
      <c r="D273" s="289" t="n">
        <v>100.3</v>
      </c>
      <c r="J273" s="292" t="n">
        <v>41944</v>
      </c>
      <c r="K273" s="319" t="n">
        <f aca="false">($G$46/C273)</f>
        <v>0.999000999000999</v>
      </c>
      <c r="L273" s="320" t="n">
        <f aca="false">($H$46/D273)</f>
        <v>0.998005982053838</v>
      </c>
    </row>
    <row r="274" customFormat="false" ht="15" hidden="false" customHeight="false" outlineLevel="0" collapsed="false">
      <c r="B274" s="288" t="n">
        <v>41974</v>
      </c>
      <c r="C274" s="308" t="n">
        <v>100.1</v>
      </c>
      <c r="D274" s="289" t="n">
        <v>100.3</v>
      </c>
      <c r="J274" s="292" t="n">
        <v>41974</v>
      </c>
      <c r="K274" s="319" t="n">
        <f aca="false">($G$46/C274)</f>
        <v>0.999000999000999</v>
      </c>
      <c r="L274" s="320" t="n">
        <f aca="false">($H$46/D274)</f>
        <v>0.998005982053838</v>
      </c>
    </row>
    <row r="275" customFormat="false" ht="15" hidden="false" customHeight="false" outlineLevel="0" collapsed="false">
      <c r="B275" s="288" t="n">
        <v>42005</v>
      </c>
      <c r="C275" s="308" t="n">
        <v>99.3</v>
      </c>
      <c r="D275" s="289" t="n">
        <v>99.3</v>
      </c>
      <c r="J275" s="292" t="n">
        <v>42005</v>
      </c>
      <c r="K275" s="319" t="n">
        <f aca="false">($G$46/C275)</f>
        <v>1.00704934541793</v>
      </c>
      <c r="L275" s="320" t="n">
        <f aca="false">($H$46/D275)</f>
        <v>1.00805639476334</v>
      </c>
    </row>
    <row r="276" customFormat="false" ht="15" hidden="false" customHeight="false" outlineLevel="0" collapsed="false">
      <c r="B276" s="288" t="n">
        <v>42036</v>
      </c>
      <c r="C276" s="308" t="n">
        <v>99.5</v>
      </c>
      <c r="D276" s="289" t="n">
        <v>99.6</v>
      </c>
      <c r="J276" s="292" t="n">
        <v>42036</v>
      </c>
      <c r="K276" s="319" t="n">
        <f aca="false">($G$46/C276)</f>
        <v>1.00502512562814</v>
      </c>
      <c r="L276" s="320" t="n">
        <f aca="false">($H$46/D276)</f>
        <v>1.00502008032129</v>
      </c>
    </row>
    <row r="277" customFormat="false" ht="15.4" hidden="false" customHeight="false" outlineLevel="0" collapsed="false">
      <c r="B277" s="299" t="n">
        <v>42064</v>
      </c>
      <c r="C277" s="312" t="n">
        <v>99.7</v>
      </c>
      <c r="D277" s="301" t="n">
        <v>99.8</v>
      </c>
      <c r="J277" s="302" t="n">
        <v>42064</v>
      </c>
      <c r="K277" s="332" t="n">
        <f aca="false">($G$46/C277)</f>
        <v>1.00300902708124</v>
      </c>
      <c r="L277" s="333" t="n">
        <f aca="false">($H$46/D277)</f>
        <v>1.00300601202405</v>
      </c>
    </row>
    <row r="278" customFormat="false" ht="15" hidden="false" customHeight="false" outlineLevel="0" collapsed="false">
      <c r="B278" s="305" t="n">
        <v>42095</v>
      </c>
      <c r="C278" s="306" t="n">
        <v>100</v>
      </c>
      <c r="D278" s="281" t="n">
        <v>100</v>
      </c>
      <c r="J278" s="307" t="n">
        <v>42095</v>
      </c>
      <c r="K278" s="326" t="n">
        <f aca="false">($G$47/C278)</f>
        <v>1.001</v>
      </c>
      <c r="L278" s="327" t="n">
        <f aca="false">($H$47/D278)</f>
        <v>1.001</v>
      </c>
    </row>
    <row r="279" customFormat="false" ht="15" hidden="false" customHeight="false" outlineLevel="0" collapsed="false">
      <c r="B279" s="288" t="n">
        <v>42125</v>
      </c>
      <c r="C279" s="308" t="n">
        <v>100.1</v>
      </c>
      <c r="D279" s="289" t="n">
        <v>100.2</v>
      </c>
      <c r="J279" s="292" t="n">
        <v>42125</v>
      </c>
      <c r="K279" s="319" t="n">
        <f aca="false">($G$47/C279)</f>
        <v>1</v>
      </c>
      <c r="L279" s="320" t="n">
        <f aca="false">($H$47/D279)</f>
        <v>0.999001996007984</v>
      </c>
    </row>
    <row r="280" customFormat="false" ht="15" hidden="false" customHeight="false" outlineLevel="0" collapsed="false">
      <c r="B280" s="288" t="n">
        <v>42156</v>
      </c>
      <c r="C280" s="308" t="n">
        <v>100.2</v>
      </c>
      <c r="D280" s="289" t="n">
        <v>100.2</v>
      </c>
      <c r="J280" s="292" t="n">
        <v>42156</v>
      </c>
      <c r="K280" s="319" t="n">
        <f aca="false">($G$47/C280)</f>
        <v>0.999001996007984</v>
      </c>
      <c r="L280" s="320" t="n">
        <f aca="false">($H$47/D280)</f>
        <v>0.999001996007984</v>
      </c>
    </row>
    <row r="281" customFormat="false" ht="15" hidden="false" customHeight="false" outlineLevel="0" collapsed="false">
      <c r="B281" s="288" t="n">
        <v>42186</v>
      </c>
      <c r="C281" s="308" t="n">
        <v>100</v>
      </c>
      <c r="D281" s="289" t="n">
        <v>100</v>
      </c>
      <c r="J281" s="292" t="n">
        <v>42186</v>
      </c>
      <c r="K281" s="319" t="n">
        <f aca="false">($G$47/C281)</f>
        <v>1.001</v>
      </c>
      <c r="L281" s="320" t="n">
        <f aca="false">($H$47/D281)</f>
        <v>1.001</v>
      </c>
    </row>
    <row r="282" customFormat="false" ht="15" hidden="false" customHeight="false" outlineLevel="0" collapsed="false">
      <c r="B282" s="288" t="n">
        <v>42217</v>
      </c>
      <c r="C282" s="308" t="n">
        <v>100.2</v>
      </c>
      <c r="D282" s="289" t="n">
        <v>100.2</v>
      </c>
      <c r="J282" s="292" t="n">
        <v>42217</v>
      </c>
      <c r="K282" s="319" t="n">
        <f aca="false">($G$47/C282)</f>
        <v>0.999001996007984</v>
      </c>
      <c r="L282" s="320" t="n">
        <f aca="false">($H$47/D282)</f>
        <v>0.999001996007984</v>
      </c>
    </row>
    <row r="283" customFormat="false" ht="15" hidden="false" customHeight="false" outlineLevel="0" collapsed="false">
      <c r="B283" s="288" t="n">
        <v>42248</v>
      </c>
      <c r="C283" s="308" t="n">
        <v>100.1</v>
      </c>
      <c r="D283" s="289" t="n">
        <v>100.1</v>
      </c>
      <c r="J283" s="292" t="n">
        <v>42248</v>
      </c>
      <c r="K283" s="319" t="n">
        <f aca="false">($G$47/C283)</f>
        <v>1</v>
      </c>
      <c r="L283" s="320" t="n">
        <f aca="false">($H$47/D283)</f>
        <v>1</v>
      </c>
    </row>
    <row r="284" customFormat="false" ht="15" hidden="false" customHeight="false" outlineLevel="0" collapsed="false">
      <c r="B284" s="288" t="n">
        <v>42278</v>
      </c>
      <c r="C284" s="308" t="n">
        <v>100.3</v>
      </c>
      <c r="D284" s="289" t="n">
        <v>100.2</v>
      </c>
      <c r="J284" s="292" t="n">
        <v>42278</v>
      </c>
      <c r="K284" s="319" t="n">
        <f aca="false">($G$47/C284)</f>
        <v>0.998005982053838</v>
      </c>
      <c r="L284" s="320" t="n">
        <f aca="false">($H$47/D284)</f>
        <v>0.999001996007984</v>
      </c>
    </row>
    <row r="285" customFormat="false" ht="15" hidden="false" customHeight="false" outlineLevel="0" collapsed="false">
      <c r="B285" s="288" t="n">
        <v>42309</v>
      </c>
      <c r="C285" s="308" t="n">
        <v>100.2</v>
      </c>
      <c r="D285" s="289" t="n">
        <v>100.2</v>
      </c>
      <c r="J285" s="292" t="n">
        <v>42309</v>
      </c>
      <c r="K285" s="319" t="n">
        <f aca="false">($G$47/C285)</f>
        <v>0.999001996007984</v>
      </c>
      <c r="L285" s="320" t="n">
        <f aca="false">($H$47/D285)</f>
        <v>0.999001996007984</v>
      </c>
    </row>
    <row r="286" customFormat="false" ht="15" hidden="false" customHeight="false" outlineLevel="0" collapsed="false">
      <c r="B286" s="288" t="n">
        <v>42339</v>
      </c>
      <c r="C286" s="308" t="n">
        <v>100.3</v>
      </c>
      <c r="D286" s="289" t="n">
        <v>100.3</v>
      </c>
      <c r="J286" s="292" t="n">
        <v>42339</v>
      </c>
      <c r="K286" s="319" t="n">
        <f aca="false">($G$47/C286)</f>
        <v>0.998005982053838</v>
      </c>
      <c r="L286" s="320" t="n">
        <f aca="false">($H$47/D286)</f>
        <v>0.998005982053838</v>
      </c>
    </row>
    <row r="287" customFormat="false" ht="15" hidden="false" customHeight="false" outlineLevel="0" collapsed="false">
      <c r="B287" s="288" t="n">
        <v>42370</v>
      </c>
      <c r="C287" s="308" t="n">
        <v>99.5</v>
      </c>
      <c r="D287" s="289" t="n">
        <v>99.4</v>
      </c>
      <c r="J287" s="292" t="n">
        <v>42370</v>
      </c>
      <c r="K287" s="319" t="n">
        <f aca="false">($G$47/C287)</f>
        <v>1.00603015075377</v>
      </c>
      <c r="L287" s="320" t="n">
        <f aca="false">($H$47/D287)</f>
        <v>1.00704225352113</v>
      </c>
    </row>
    <row r="288" customFormat="false" ht="15" hidden="false" customHeight="false" outlineLevel="0" collapsed="false">
      <c r="B288" s="288" t="n">
        <v>42401</v>
      </c>
      <c r="C288" s="308" t="n">
        <v>99.8</v>
      </c>
      <c r="D288" s="289" t="n">
        <v>99.7</v>
      </c>
      <c r="J288" s="292" t="n">
        <v>42401</v>
      </c>
      <c r="K288" s="319" t="n">
        <f aca="false">($G$47/C288)</f>
        <v>1.00300601202405</v>
      </c>
      <c r="L288" s="320" t="n">
        <f aca="false">($H$47/D288)</f>
        <v>1.00401203610833</v>
      </c>
    </row>
    <row r="289" customFormat="false" ht="15.4" hidden="false" customHeight="false" outlineLevel="0" collapsed="false">
      <c r="B289" s="299" t="n">
        <v>42430</v>
      </c>
      <c r="C289" s="312" t="n">
        <v>100.1</v>
      </c>
      <c r="D289" s="301" t="n">
        <v>100.1</v>
      </c>
      <c r="J289" s="302" t="n">
        <v>42430</v>
      </c>
      <c r="K289" s="332" t="n">
        <f aca="false">($G$47/C289)</f>
        <v>1</v>
      </c>
      <c r="L289" s="333" t="n">
        <f aca="false">($H$47/D289)</f>
        <v>1</v>
      </c>
    </row>
    <row r="290" customFormat="false" ht="15" hidden="false" customHeight="false" outlineLevel="0" collapsed="false">
      <c r="B290" s="305" t="n">
        <v>42461</v>
      </c>
      <c r="C290" s="306" t="n">
        <v>100.2</v>
      </c>
      <c r="D290" s="281" t="n">
        <v>100.1</v>
      </c>
      <c r="J290" s="307" t="n">
        <v>42461</v>
      </c>
      <c r="K290" s="326" t="n">
        <f aca="false">($G$48/C290)</f>
        <v>1.00798403193613</v>
      </c>
      <c r="L290" s="327" t="n">
        <f aca="false">($H$48/D290)</f>
        <v>1.00999000999001</v>
      </c>
    </row>
    <row r="291" customFormat="false" ht="15" hidden="false" customHeight="false" outlineLevel="0" collapsed="false">
      <c r="B291" s="288" t="n">
        <v>42491</v>
      </c>
      <c r="C291" s="308" t="n">
        <v>100.4</v>
      </c>
      <c r="D291" s="289" t="n">
        <v>100.3</v>
      </c>
      <c r="J291" s="292" t="n">
        <v>42491</v>
      </c>
      <c r="K291" s="319" t="n">
        <f aca="false">($G$48/C291)</f>
        <v>1.00597609561753</v>
      </c>
      <c r="L291" s="320" t="n">
        <f aca="false">($H$48/D291)</f>
        <v>1.00797607178465</v>
      </c>
    </row>
    <row r="292" customFormat="false" ht="15" hidden="false" customHeight="false" outlineLevel="0" collapsed="false">
      <c r="B292" s="288" t="n">
        <v>42522</v>
      </c>
      <c r="C292" s="308" t="n">
        <v>100.5</v>
      </c>
      <c r="D292" s="289" t="n">
        <v>100.5</v>
      </c>
      <c r="J292" s="292" t="n">
        <v>42522</v>
      </c>
      <c r="K292" s="319" t="n">
        <f aca="false">($G$48/C292)</f>
        <v>1.00497512437811</v>
      </c>
      <c r="L292" s="320" t="n">
        <f aca="false">($H$48/D292)</f>
        <v>1.00597014925373</v>
      </c>
    </row>
    <row r="293" customFormat="false" ht="15" hidden="false" customHeight="false" outlineLevel="0" collapsed="false">
      <c r="B293" s="288" t="n">
        <v>42552</v>
      </c>
      <c r="C293" s="308" t="n">
        <v>100.5</v>
      </c>
      <c r="D293" s="289" t="n">
        <v>100.5</v>
      </c>
      <c r="J293" s="292" t="n">
        <v>42552</v>
      </c>
      <c r="K293" s="319" t="n">
        <f aca="false">($G$48/C293)</f>
        <v>1.00497512437811</v>
      </c>
      <c r="L293" s="320" t="n">
        <f aca="false">($H$48/D293)</f>
        <v>1.00597014925373</v>
      </c>
    </row>
    <row r="294" customFormat="false" ht="15" hidden="false" customHeight="false" outlineLevel="0" collapsed="false">
      <c r="B294" s="288" t="n">
        <v>42583</v>
      </c>
      <c r="C294" s="308" t="n">
        <v>100.7</v>
      </c>
      <c r="D294" s="289" t="n">
        <v>100.8</v>
      </c>
      <c r="J294" s="292" t="n">
        <v>42583</v>
      </c>
      <c r="K294" s="319" t="n">
        <f aca="false">($G$48/C294)</f>
        <v>1.00297914597815</v>
      </c>
      <c r="L294" s="320" t="n">
        <f aca="false">($H$48/D294)</f>
        <v>1.00297619047619</v>
      </c>
    </row>
    <row r="295" customFormat="false" ht="15" hidden="false" customHeight="false" outlineLevel="0" collapsed="false">
      <c r="B295" s="288" t="n">
        <v>42614</v>
      </c>
      <c r="C295" s="308" t="n">
        <v>101</v>
      </c>
      <c r="D295" s="289" t="n">
        <v>101.1</v>
      </c>
      <c r="J295" s="292" t="n">
        <v>42614</v>
      </c>
      <c r="K295" s="319" t="n">
        <f aca="false">($G$48/C295)</f>
        <v>1</v>
      </c>
      <c r="L295" s="320" t="n">
        <f aca="false">($H$48/D295)</f>
        <v>1</v>
      </c>
    </row>
    <row r="296" customFormat="false" ht="15" hidden="false" customHeight="false" outlineLevel="0" collapsed="false">
      <c r="B296" s="288" t="n">
        <v>42644</v>
      </c>
      <c r="C296" s="308" t="n">
        <v>101</v>
      </c>
      <c r="D296" s="289" t="n">
        <v>101.1</v>
      </c>
      <c r="J296" s="292" t="n">
        <v>42644</v>
      </c>
      <c r="K296" s="319" t="n">
        <f aca="false">($G$48/C296)</f>
        <v>1</v>
      </c>
      <c r="L296" s="320" t="n">
        <f aca="false">($H$48/D296)</f>
        <v>1</v>
      </c>
    </row>
    <row r="297" customFormat="false" ht="15" hidden="false" customHeight="false" outlineLevel="0" collapsed="false">
      <c r="B297" s="288" t="n">
        <v>42675</v>
      </c>
      <c r="C297" s="308" t="n">
        <v>101.2</v>
      </c>
      <c r="D297" s="289" t="n">
        <v>101.4</v>
      </c>
      <c r="J297" s="292" t="n">
        <v>42675</v>
      </c>
      <c r="K297" s="319" t="n">
        <f aca="false">($G$48/C297)</f>
        <v>0.99802371541502</v>
      </c>
      <c r="L297" s="320" t="n">
        <f aca="false">($H$48/D297)</f>
        <v>0.997041420118343</v>
      </c>
    </row>
    <row r="298" customFormat="false" ht="15" hidden="false" customHeight="false" outlineLevel="0" collapsed="false">
      <c r="B298" s="288" t="n">
        <v>42705</v>
      </c>
      <c r="C298" s="308" t="n">
        <v>101.7</v>
      </c>
      <c r="D298" s="289" t="n">
        <v>101.9</v>
      </c>
      <c r="J298" s="292" t="n">
        <v>42705</v>
      </c>
      <c r="K298" s="319" t="n">
        <f aca="false">($G$48/C298)</f>
        <v>0.993117010816126</v>
      </c>
      <c r="L298" s="320" t="n">
        <f aca="false">($H$48/D298)</f>
        <v>0.992149165848871</v>
      </c>
    </row>
    <row r="299" customFormat="false" ht="15" hidden="false" customHeight="false" outlineLevel="0" collapsed="false">
      <c r="B299" s="288" t="n">
        <v>42736</v>
      </c>
      <c r="C299" s="308" t="n">
        <v>101.2</v>
      </c>
      <c r="D299" s="289" t="n">
        <v>101.3</v>
      </c>
      <c r="J299" s="292" t="n">
        <v>42736</v>
      </c>
      <c r="K299" s="319" t="n">
        <f aca="false">($G$48/C299)</f>
        <v>0.99802371541502</v>
      </c>
      <c r="L299" s="320" t="n">
        <f aca="false">($H$48/D299)</f>
        <v>0.998025666337611</v>
      </c>
    </row>
    <row r="300" customFormat="false" ht="15" hidden="false" customHeight="false" outlineLevel="0" collapsed="false">
      <c r="B300" s="288" t="n">
        <v>42767</v>
      </c>
      <c r="C300" s="308" t="n">
        <v>101.9</v>
      </c>
      <c r="D300" s="289" t="n">
        <v>102.1</v>
      </c>
      <c r="J300" s="292" t="n">
        <v>42767</v>
      </c>
      <c r="K300" s="319" t="n">
        <f aca="false">($G$48/C300)</f>
        <v>0.99116781157998</v>
      </c>
      <c r="L300" s="320" t="n">
        <f aca="false">($H$48/D300)</f>
        <v>0.990205680705191</v>
      </c>
    </row>
    <row r="301" customFormat="false" ht="15.4" hidden="false" customHeight="false" outlineLevel="0" collapsed="false">
      <c r="B301" s="299" t="n">
        <v>42795</v>
      </c>
      <c r="C301" s="312" t="n">
        <v>102.2</v>
      </c>
      <c r="D301" s="301" t="n">
        <v>102.5</v>
      </c>
      <c r="J301" s="302" t="n">
        <v>42795</v>
      </c>
      <c r="K301" s="332" t="n">
        <f aca="false">($G$48/C301)</f>
        <v>0.98825831702544</v>
      </c>
      <c r="L301" s="333" t="n">
        <f aca="false">($H$48/D301)</f>
        <v>0.986341463414634</v>
      </c>
    </row>
    <row r="302" customFormat="false" ht="15" hidden="false" customHeight="false" outlineLevel="0" collapsed="false">
      <c r="B302" s="305" t="n">
        <v>42826</v>
      </c>
      <c r="C302" s="306" t="n">
        <v>102.7</v>
      </c>
      <c r="D302" s="281" t="n">
        <v>103</v>
      </c>
      <c r="J302" s="285" t="n">
        <v>42826</v>
      </c>
      <c r="K302" s="316" t="n">
        <f aca="false">($G$49/C302)</f>
        <v>1.00973709834469</v>
      </c>
      <c r="L302" s="317" t="n">
        <f aca="false">($H$49/D302)</f>
        <v>1.01165048543689</v>
      </c>
    </row>
    <row r="303" customFormat="false" ht="15" hidden="false" customHeight="false" outlineLevel="0" collapsed="false">
      <c r="B303" s="288" t="n">
        <v>42856</v>
      </c>
      <c r="C303" s="308" t="n">
        <v>103</v>
      </c>
      <c r="D303" s="289" t="n">
        <v>103.4</v>
      </c>
      <c r="J303" s="292" t="n">
        <v>42856</v>
      </c>
      <c r="K303" s="319" t="n">
        <f aca="false">($G$49/C303)</f>
        <v>1.00679611650485</v>
      </c>
      <c r="L303" s="320" t="n">
        <f aca="false">($H$49/D303)</f>
        <v>1.00773694390716</v>
      </c>
    </row>
    <row r="304" customFormat="false" ht="15" hidden="false" customHeight="false" outlineLevel="0" collapsed="false">
      <c r="B304" s="288" t="n">
        <v>42887</v>
      </c>
      <c r="C304" s="308" t="n">
        <v>102.9</v>
      </c>
      <c r="D304" s="289" t="n">
        <v>103.3</v>
      </c>
      <c r="J304" s="292" t="n">
        <v>42887</v>
      </c>
      <c r="K304" s="319" t="n">
        <f aca="false">($G$49/C304)</f>
        <v>1.00777453838678</v>
      </c>
      <c r="L304" s="320" t="n">
        <f aca="false">($H$49/D304)</f>
        <v>1.00871248789932</v>
      </c>
    </row>
    <row r="305" customFormat="false" ht="15" hidden="false" customHeight="false" outlineLevel="0" collapsed="false">
      <c r="B305" s="288" t="n">
        <v>42917</v>
      </c>
      <c r="C305" s="308" t="n">
        <v>102.8</v>
      </c>
      <c r="D305" s="289" t="n">
        <v>103.3</v>
      </c>
      <c r="J305" s="292" t="n">
        <v>42917</v>
      </c>
      <c r="K305" s="319" t="n">
        <f aca="false">($G$49/C305)</f>
        <v>1.00875486381323</v>
      </c>
      <c r="L305" s="320" t="n">
        <f aca="false">($H$49/D305)</f>
        <v>1.00871248789932</v>
      </c>
    </row>
    <row r="306" customFormat="false" ht="15" hidden="false" customHeight="false" outlineLevel="0" collapsed="false">
      <c r="B306" s="288" t="n">
        <v>42948</v>
      </c>
      <c r="C306" s="308" t="n">
        <v>103.4</v>
      </c>
      <c r="D306" s="289" t="n">
        <v>103.9</v>
      </c>
      <c r="J306" s="292" t="n">
        <v>42948</v>
      </c>
      <c r="K306" s="319" t="n">
        <f aca="false">($G$49/C306)</f>
        <v>1.00290135396518</v>
      </c>
      <c r="L306" s="320" t="n">
        <f aca="false">($H$49/D306)</f>
        <v>1.00288739172281</v>
      </c>
    </row>
    <row r="307" customFormat="false" ht="15" hidden="false" customHeight="false" outlineLevel="0" collapsed="false">
      <c r="B307" s="288" t="n">
        <v>42979</v>
      </c>
      <c r="C307" s="308" t="n">
        <v>103.7</v>
      </c>
      <c r="D307" s="289" t="n">
        <v>104.2</v>
      </c>
      <c r="J307" s="292" t="n">
        <v>42979</v>
      </c>
      <c r="K307" s="319" t="n">
        <f aca="false">($G$49/C307)</f>
        <v>1</v>
      </c>
      <c r="L307" s="320" t="n">
        <f aca="false">($H$49/D307)</f>
        <v>1</v>
      </c>
    </row>
    <row r="308" customFormat="false" ht="15" hidden="false" customHeight="false" outlineLevel="0" collapsed="false">
      <c r="B308" s="288" t="n">
        <v>43009</v>
      </c>
      <c r="C308" s="308" t="n">
        <v>103.8</v>
      </c>
      <c r="D308" s="289" t="n">
        <v>104.4</v>
      </c>
      <c r="J308" s="292" t="n">
        <v>43009</v>
      </c>
      <c r="K308" s="319" t="n">
        <f aca="false">($G$49/C308)</f>
        <v>0.999036608863199</v>
      </c>
      <c r="L308" s="320" t="n">
        <f aca="false">($H$49/D308)</f>
        <v>0.998084291187739</v>
      </c>
    </row>
    <row r="309" customFormat="false" ht="15" hidden="false" customHeight="false" outlineLevel="0" collapsed="false">
      <c r="B309" s="288" t="n">
        <v>43040</v>
      </c>
      <c r="C309" s="308" t="n">
        <v>104.2</v>
      </c>
      <c r="D309" s="289" t="n">
        <v>104.7</v>
      </c>
      <c r="J309" s="292" t="n">
        <v>43040</v>
      </c>
      <c r="K309" s="319" t="n">
        <f aca="false">($G$49/C309)</f>
        <v>0.995201535508637</v>
      </c>
      <c r="L309" s="320" t="n">
        <f aca="false">($H$49/D309)</f>
        <v>0.995224450811843</v>
      </c>
    </row>
    <row r="310" customFormat="false" ht="15" hidden="false" customHeight="false" outlineLevel="0" collapsed="false">
      <c r="B310" s="288" t="n">
        <v>43070</v>
      </c>
      <c r="C310" s="308" t="n">
        <v>104.6</v>
      </c>
      <c r="D310" s="289" t="n">
        <v>105.1</v>
      </c>
      <c r="J310" s="292" t="n">
        <v>43070</v>
      </c>
      <c r="K310" s="319" t="n">
        <f aca="false">($G$49/C310)</f>
        <v>0.991395793499044</v>
      </c>
      <c r="L310" s="320" t="n">
        <f aca="false">($H$49/D310)</f>
        <v>0.991436726926736</v>
      </c>
    </row>
    <row r="311" customFormat="false" ht="15" hidden="false" customHeight="false" outlineLevel="0" collapsed="false">
      <c r="B311" s="288" t="n">
        <v>43101</v>
      </c>
      <c r="C311" s="308" t="n">
        <v>104.2</v>
      </c>
      <c r="D311" s="289" t="n">
        <v>104.5</v>
      </c>
      <c r="J311" s="292" t="n">
        <v>43101</v>
      </c>
      <c r="K311" s="319" t="n">
        <f aca="false">($G$49/C311)</f>
        <v>0.995201535508637</v>
      </c>
      <c r="L311" s="320" t="n">
        <f aca="false">($H$49/D311)</f>
        <v>0.997129186602871</v>
      </c>
    </row>
    <row r="312" customFormat="false" ht="15" hidden="false" customHeight="false" outlineLevel="0" collapsed="false">
      <c r="B312" s="288" t="n">
        <v>43132</v>
      </c>
      <c r="C312" s="308" t="n">
        <v>104.7</v>
      </c>
      <c r="D312" s="289" t="n">
        <v>105</v>
      </c>
      <c r="J312" s="292" t="n">
        <v>43132</v>
      </c>
      <c r="K312" s="319" t="n">
        <f aca="false">($G$49/C312)</f>
        <v>0.990448901623687</v>
      </c>
      <c r="L312" s="320" t="n">
        <f aca="false">($H$49/D312)</f>
        <v>0.992380952380952</v>
      </c>
    </row>
    <row r="313" customFormat="false" ht="15.4" hidden="false" customHeight="false" outlineLevel="0" collapsed="false">
      <c r="B313" s="299" t="n">
        <v>43160</v>
      </c>
      <c r="C313" s="312" t="n">
        <v>104.8</v>
      </c>
      <c r="D313" s="301" t="n">
        <v>105.2</v>
      </c>
      <c r="J313" s="323" t="n">
        <v>43160</v>
      </c>
      <c r="K313" s="324" t="n">
        <f aca="false">($G$49/C313)</f>
        <v>0.989503816793893</v>
      </c>
      <c r="L313" s="325" t="n">
        <f aca="false">($H$49/D313)</f>
        <v>0.990494296577947</v>
      </c>
    </row>
    <row r="314" customFormat="false" ht="15" hidden="false" customHeight="false" outlineLevel="0" collapsed="false">
      <c r="B314" s="305" t="n">
        <v>43191</v>
      </c>
      <c r="C314" s="306" t="n">
        <v>105.2</v>
      </c>
      <c r="D314" s="281" t="n">
        <v>105.6</v>
      </c>
      <c r="J314" s="307" t="n">
        <v>43191</v>
      </c>
      <c r="K314" s="335" t="n">
        <f aca="false">($G$50/C314)</f>
        <v>1.00950570342205</v>
      </c>
      <c r="L314" s="327" t="n">
        <f aca="false">($H$50/D314)</f>
        <v>1.01041666666667</v>
      </c>
    </row>
    <row r="315" customFormat="false" ht="15" hidden="false" customHeight="false" outlineLevel="0" collapsed="false">
      <c r="B315" s="288" t="n">
        <v>43221</v>
      </c>
      <c r="C315" s="308" t="n">
        <v>105.6</v>
      </c>
      <c r="D315" s="289" t="n">
        <v>106.1</v>
      </c>
      <c r="J315" s="292" t="n">
        <v>43221</v>
      </c>
      <c r="K315" s="336" t="n">
        <f aca="false">($G$50/C315)</f>
        <v>1.00568181818182</v>
      </c>
      <c r="L315" s="317" t="n">
        <f aca="false">($H$50/D315)</f>
        <v>1.00565504241282</v>
      </c>
    </row>
    <row r="316" customFormat="false" ht="15" hidden="false" customHeight="false" outlineLevel="0" collapsed="false">
      <c r="B316" s="288" t="n">
        <v>43252</v>
      </c>
      <c r="C316" s="308" t="n">
        <v>105.6</v>
      </c>
      <c r="D316" s="289" t="n">
        <v>106</v>
      </c>
      <c r="J316" s="292" t="n">
        <v>43252</v>
      </c>
      <c r="K316" s="336" t="n">
        <f aca="false">($G$50/C316)</f>
        <v>1.00568181818182</v>
      </c>
      <c r="L316" s="317" t="n">
        <f aca="false">($H$50/D316)</f>
        <v>1.00660377358491</v>
      </c>
    </row>
    <row r="317" customFormat="false" ht="15" hidden="false" customHeight="false" outlineLevel="0" collapsed="false">
      <c r="B317" s="288" t="n">
        <v>43282</v>
      </c>
      <c r="C317" s="308" t="n">
        <v>105.5</v>
      </c>
      <c r="D317" s="289" t="n">
        <v>106</v>
      </c>
      <c r="J317" s="292" t="n">
        <v>43282</v>
      </c>
      <c r="K317" s="336" t="n">
        <f aca="false">($G$50/C317)</f>
        <v>1.00663507109005</v>
      </c>
      <c r="L317" s="317" t="n">
        <f aca="false">($H$50/D317)</f>
        <v>1.00660377358491</v>
      </c>
    </row>
    <row r="318" customFormat="false" ht="15" hidden="false" customHeight="false" outlineLevel="0" collapsed="false">
      <c r="B318" s="288" t="n">
        <v>43313</v>
      </c>
      <c r="C318" s="308" t="n">
        <v>106.4</v>
      </c>
      <c r="D318" s="289" t="n">
        <v>106.8</v>
      </c>
      <c r="J318" s="292" t="n">
        <v>43313</v>
      </c>
      <c r="K318" s="336" t="n">
        <f aca="false">($G$50/C318)</f>
        <v>0.99812030075188</v>
      </c>
      <c r="L318" s="317" t="n">
        <f aca="false">($H$50/D318)</f>
        <v>0.999063670411985</v>
      </c>
    </row>
    <row r="319" customFormat="false" ht="15" hidden="false" customHeight="false" outlineLevel="0" collapsed="false">
      <c r="B319" s="288" t="n">
        <v>43344</v>
      </c>
      <c r="C319" s="308" t="n">
        <v>106.4</v>
      </c>
      <c r="D319" s="289" t="n">
        <v>106.9</v>
      </c>
      <c r="J319" s="292" t="n">
        <v>43344</v>
      </c>
      <c r="K319" s="336" t="n">
        <f aca="false">($G$50/C319)</f>
        <v>0.99812030075188</v>
      </c>
      <c r="L319" s="317" t="n">
        <f aca="false">($H$50/D319)</f>
        <v>0.998129092609916</v>
      </c>
    </row>
    <row r="320" customFormat="false" ht="15" hidden="false" customHeight="false" outlineLevel="0" collapsed="false">
      <c r="B320" s="288" t="n">
        <v>43374</v>
      </c>
      <c r="C320" s="308" t="n">
        <v>106.6</v>
      </c>
      <c r="D320" s="289" t="n">
        <v>107</v>
      </c>
      <c r="J320" s="292" t="n">
        <v>43374</v>
      </c>
      <c r="K320" s="336" t="n">
        <f aca="false">($G$50/C320)</f>
        <v>0.99624765478424</v>
      </c>
      <c r="L320" s="317" t="n">
        <f aca="false">($H$50/D320)</f>
        <v>0.997196261682243</v>
      </c>
    </row>
    <row r="321" customFormat="false" ht="15" hidden="false" customHeight="false" outlineLevel="0" collapsed="false">
      <c r="B321" s="288" t="n">
        <v>43405</v>
      </c>
      <c r="C321" s="308" t="n">
        <v>106.8</v>
      </c>
      <c r="D321" s="289" t="n">
        <v>107.3</v>
      </c>
      <c r="J321" s="292" t="n">
        <v>43405</v>
      </c>
      <c r="K321" s="336" t="n">
        <f aca="false">($G$50/C321)</f>
        <v>0.99438202247191</v>
      </c>
      <c r="L321" s="317" t="n">
        <f aca="false">($H$50/D321)</f>
        <v>0.994408201304753</v>
      </c>
    </row>
    <row r="322" customFormat="false" ht="15" hidden="false" customHeight="false" outlineLevel="0" collapsed="false">
      <c r="B322" s="288" t="n">
        <v>43435</v>
      </c>
      <c r="C322" s="308" t="n">
        <v>107</v>
      </c>
      <c r="D322" s="289" t="n">
        <v>107.5</v>
      </c>
      <c r="J322" s="292" t="n">
        <v>43435</v>
      </c>
      <c r="K322" s="336" t="n">
        <f aca="false">($G$50/C322)</f>
        <v>0.992523364485981</v>
      </c>
      <c r="L322" s="317" t="n">
        <f aca="false">($H$50/D322)</f>
        <v>0.992558139534884</v>
      </c>
    </row>
    <row r="323" customFormat="false" ht="15" hidden="false" customHeight="false" outlineLevel="0" collapsed="false">
      <c r="B323" s="288" t="n">
        <v>43466</v>
      </c>
      <c r="C323" s="308" t="n">
        <v>106.2</v>
      </c>
      <c r="D323" s="289" t="n">
        <v>106.6</v>
      </c>
      <c r="J323" s="292" t="n">
        <v>43466</v>
      </c>
      <c r="K323" s="336" t="n">
        <f aca="false">($G$50/C323)</f>
        <v>1</v>
      </c>
      <c r="L323" s="317" t="n">
        <f aca="false">($H$50/D323)</f>
        <v>1.00093808630394</v>
      </c>
    </row>
    <row r="324" customFormat="false" ht="15" hidden="false" customHeight="false" outlineLevel="0" collapsed="false">
      <c r="B324" s="288" t="n">
        <v>43497</v>
      </c>
      <c r="C324" s="308" t="n">
        <v>106.7</v>
      </c>
      <c r="D324" s="289" t="n">
        <v>107.2</v>
      </c>
      <c r="J324" s="292" t="n">
        <v>43497</v>
      </c>
      <c r="K324" s="336" t="n">
        <f aca="false">($G$50/C324)</f>
        <v>0.995313964386129</v>
      </c>
      <c r="L324" s="317" t="n">
        <f aca="false">($H$50/D324)</f>
        <v>0.995335820895522</v>
      </c>
    </row>
    <row r="325" customFormat="false" ht="15.4" hidden="false" customHeight="false" outlineLevel="0" collapsed="false">
      <c r="B325" s="299" t="n">
        <v>43525</v>
      </c>
      <c r="C325" s="312" t="n">
        <v>106.9</v>
      </c>
      <c r="D325" s="301" t="n">
        <v>107.4</v>
      </c>
      <c r="J325" s="302" t="n">
        <v>43525</v>
      </c>
      <c r="K325" s="337" t="n">
        <f aca="false">($G$50/C325)</f>
        <v>0.993451824134705</v>
      </c>
      <c r="L325" s="338" t="n">
        <f aca="false">($H$50/D325)</f>
        <v>0.993482309124767</v>
      </c>
    </row>
  </sheetData>
  <hyperlinks>
    <hyperlink ref="C6" r:id="rId1" display="ONS update"/>
    <hyperlink ref="B13" r:id="rId2" display="January 2000 +"/>
    <hyperlink ref="B18" r:id="rId3" display="January 1996 +"/>
    <hyperlink ref="B21" r:id="rId4" display="2014/15 Quality and Methodology Report"/>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LibreOffice/6.0.7.3$Linux_X86_64 LibreOffice_project/00m0$Build-3</Application>
  <Company>DWP</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2020-03-23T15:59:44Z</dcterms:created>
  <dc:creator>McDonagh Dawn Digital Group Caxton House</dc:creator>
  <dc:description/>
  <dc:language>en-GB</dc:language>
  <cp:lastModifiedBy>McDonagh Dawn Digital Group Caxton House</cp:lastModifiedBy>
  <dcterms:modified xsi:type="dcterms:W3CDTF">2020-03-24T16:08:01Z</dcterms:modified>
  <cp:revision>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DWP</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